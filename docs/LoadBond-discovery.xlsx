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443830c1e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c88a792ac6304068"/>
    <x:sheet xmlns:r="http://schemas.openxmlformats.org/officeDocument/2006/relationships" name="Daily reconstruction" sheetId="2" r:id="R3ffb798937e74e7d"/>
    <x:sheet xmlns:r="http://schemas.openxmlformats.org/officeDocument/2006/relationships" name="Instrument days" sheetId="3" r:id="R367e471c3894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#,##0.00;(#,##0.00);&quot;-&quot;"/>
  </x:numFmts>
  <x:fonts count="6">
    <x:font>
      <x:sz val="11"/>
      <x:name val="Carlito"/>
    </x:font>
    <x:font>
      <x:sz val="10"/>
      <x:color rgb="FF253E42"/>
      <x:name val="Arial"/>
    </x:font>
    <x:font>
      <x:b/>
      <x:sz val="15"/>
      <x:color rgb="FF253E42"/>
      <x:name val="Arial"/>
    </x:font>
    <x:font>
      <x:i/>
      <x:sz val="10"/>
      <x:color rgb="FF68796B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E43"/>
      </x:patternFill>
    </x:fill>
    <x:fill>
      <x:patternFill patternType="solid">
        <x:fgColor rgb="FFFFF8D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2243e02674f9c" /><Relationship Type="http://schemas.openxmlformats.org/officeDocument/2006/relationships/theme" Target="/xl/theme/theme1.xml" Id="Re6d04d2ed33a475c" /><Relationship Type="http://schemas.openxmlformats.org/officeDocument/2006/relationships/sharedStrings" Target="/xl/sharedStrings.xml" Id="Rc49a4092aabe4931" /><Relationship Type="http://schemas.openxmlformats.org/officeDocument/2006/relationships/worksheet" Target="/xl/worksheets/sheet1.xml" Id="Rc88a792ac6304068" /><Relationship Type="http://schemas.openxmlformats.org/officeDocument/2006/relationships/worksheet" Target="/xl/worksheets/sheet2.xml" Id="R3ffb798937e74e7d" /><Relationship Type="http://schemas.openxmlformats.org/officeDocument/2006/relationships/worksheet" Target="/xl/worksheets/sheet3.xml" Id="R367e471c38944400" /></Relationships>
</file>

<file path=xl/tables/table1.xml><?xml version="1.0" encoding="utf-8"?>
<x:table xmlns:x="http://schemas.openxmlformats.org/spreadsheetml/2006/main" id="1" name="ProspectTargets" displayName="ProspectTargets" ref="A8:L33" headerRowCount="1" totalsRowCount="0" totalsRowShown="0">
  <x:tableColumns count="12">
    <x:tableColumn id="1" name="ID"/>
    <x:tableColumn id="2" name="Target role"/>
    <x:tableColumn id="3" name="Organization"/>
    <x:tableColumn id="4" name="Contact name"/>
    <x:tableColumn id="5" name="Public source URL"/>
    <x:tableColumn id="6" name="Relationship"/>
    <x:tableColumn id="7" name="Owner"/>
    <x:tableColumn id="8" name="Outreach status"/>
    <x:tableColumn id="9" name="Data access"/>
    <x:tableColumn id="10" name="Last contact"/>
    <x:tableColumn id="11" name="Next action"/>
    <x:tableColumn id="12" name="Evidence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rumentDaySources" displayName="InstrumentDaySources" ref="A7:O207" headerRowCount="1" totalsRowCount="0" totalsRowShown="0">
  <x:tableColumns count="15">
    <x:tableColumn id="1" name="Date"/>
    <x:tableColumn id="2" name="Project ID"/>
    <x:tableColumn id="3" name="Developer ID"/>
    <x:tableColumn id="4" name="Site ID"/>
    <x:tableColumn id="5" name="Instrument ID"/>
    <x:tableColumn id="6" name="Currency"/>
    <x:tableColumn id="7" name="Face USD"/>
    <x:tableColumn id="8" name="Bona fide alternative"/>
    <x:tableColumn id="9" name="Facility usage USD"/>
    <x:tableColumn id="10" name="Cash collateral USD"/>
    <x:tableColumn id="11" name="Document version / hash"/>
    <x:tableColumn id="12" name="Exact source passage"/>
    <x:tableColumn id="13" name="Release evidence"/>
    <x:tableColumn id="14" name="Reviewer"/>
    <x:tableColumn id="15" name="Input readin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a73802b32041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2c2f3f750b42d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2" hidden="0" customWidth="1"/>
    <x:col min="12" max="12" width="32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2" t="str">
        <x:v>LoadBond customer discovery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5" customHeight="1">
      <x:c r="A3" s="3" t="str">
        <x:v>25 target slots. Names and organizations await research; no outreach or commitment is recorded.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5" customHeight="1">
      <x:c r="A5" s="1" t="str">
        <x:v>Conversations completed</x:v>
      </x:c>
      <x:c r="B5" s="1" t="n">
        <x:f>COUNTIF(H9:H33,"Interview completed")</x:f>
        <x:v>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5" customHeight="1">
      <x:c r="A6" s="1" t="str">
        <x:v>Data commitments</x:v>
      </x:c>
      <x:c r="B6" s="1" t="n">
        <x:f>COUNTIF(I9:I33,"Committed")</x:f>
        <x:v>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42" customHeight="1">
      <x:c r="A8" s="8" t="str">
        <x:v>ID</x:v>
      </x:c>
      <x:c r="B8" s="8" t="str">
        <x:v>Target role</x:v>
      </x:c>
      <x:c r="C8" s="8" t="str">
        <x:v>Organization</x:v>
      </x:c>
      <x:c r="D8" s="8" t="str">
        <x:v>Contact name</x:v>
      </x:c>
      <x:c r="E8" s="8" t="str">
        <x:v>Public source URL</x:v>
      </x:c>
      <x:c r="F8" s="8" t="str">
        <x:v>Relationship</x:v>
      </x:c>
      <x:c r="G8" s="8" t="str">
        <x:v>Owner</x:v>
      </x:c>
      <x:c r="H8" s="8" t="str">
        <x:v>Outreach status</x:v>
      </x:c>
      <x:c r="I8" s="8" t="str">
        <x:v>Data access</x:v>
      </x:c>
      <x:c r="J8" s="8" t="str">
        <x:v>Last contact</x:v>
      </x:c>
      <x:c r="K8" s="8" t="str">
        <x:v>Next action</x:v>
      </x:c>
      <x:c r="L8" s="8" t="str">
        <x:v>Evidence notes</x:v>
      </x:c>
    </x:row>
    <x:row r="9" ht="25" customHeight="1">
      <x:c r="A9" s="1" t="str">
        <x:v>D01</x:v>
      </x:c>
      <x:c r="B9" s="1" t="str">
        <x:v>Developer treasury</x:v>
      </x:c>
      <x:c r="C9" s="10"/>
      <x:c r="D9" s="10"/>
      <x:c r="E9" s="10"/>
      <x:c r="F9" s="10"/>
      <x:c r="G9" s="1" t="str">
        <x:v>Founder</x:v>
      </x:c>
      <x:c r="H9" s="1" t="str">
        <x:v>Not contacted</x:v>
      </x:c>
      <x:c r="I9" s="1" t="str">
        <x:v>Not requested</x:v>
      </x:c>
      <x:c r="J9" s="9"/>
      <x:c r="K9" s="1" t="str">
        <x:v>Research public contact</x:v>
      </x:c>
      <x:c r="L9" s="1"/>
    </x:row>
    <x:row r="10" ht="25" customHeight="1">
      <x:c r="A10" s="1" t="str">
        <x:v>D02</x:v>
      </x:c>
      <x:c r="B10" s="1" t="str">
        <x:v>Developer treasury</x:v>
      </x:c>
      <x:c r="C10" s="10"/>
      <x:c r="D10" s="10"/>
      <x:c r="E10" s="10"/>
      <x:c r="F10" s="10"/>
      <x:c r="G10" s="1" t="str">
        <x:v>Founder</x:v>
      </x:c>
      <x:c r="H10" s="1" t="str">
        <x:v>Not contacted</x:v>
      </x:c>
      <x:c r="I10" s="1" t="str">
        <x:v>Not requested</x:v>
      </x:c>
      <x:c r="J10" s="9"/>
      <x:c r="K10" s="1" t="str">
        <x:v>Research public contact</x:v>
      </x:c>
      <x:c r="L10" s="1"/>
    </x:row>
    <x:row r="11" ht="25" customHeight="1">
      <x:c r="A11" s="1" t="str">
        <x:v>D03</x:v>
      </x:c>
      <x:c r="B11" s="1" t="str">
        <x:v>Developer treasury</x:v>
      </x:c>
      <x:c r="C11" s="10"/>
      <x:c r="D11" s="10"/>
      <x:c r="E11" s="10"/>
      <x:c r="F11" s="10"/>
      <x:c r="G11" s="1" t="str">
        <x:v>Founder</x:v>
      </x:c>
      <x:c r="H11" s="1" t="str">
        <x:v>Not contacted</x:v>
      </x:c>
      <x:c r="I11" s="1" t="str">
        <x:v>Not requested</x:v>
      </x:c>
      <x:c r="J11" s="9"/>
      <x:c r="K11" s="1" t="str">
        <x:v>Research public contact</x:v>
      </x:c>
      <x:c r="L11" s="1"/>
    </x:row>
    <x:row r="12" ht="25" customHeight="1">
      <x:c r="A12" s="1" t="str">
        <x:v>D04</x:v>
      </x:c>
      <x:c r="B12" s="1" t="str">
        <x:v>Developer treasury</x:v>
      </x:c>
      <x:c r="C12" s="10"/>
      <x:c r="D12" s="10"/>
      <x:c r="E12" s="10"/>
      <x:c r="F12" s="10"/>
      <x:c r="G12" s="1" t="str">
        <x:v>Founder</x:v>
      </x:c>
      <x:c r="H12" s="1" t="str">
        <x:v>Not contacted</x:v>
      </x:c>
      <x:c r="I12" s="1" t="str">
        <x:v>Not requested</x:v>
      </x:c>
      <x:c r="J12" s="9"/>
      <x:c r="K12" s="1" t="str">
        <x:v>Research public contact</x:v>
      </x:c>
      <x:c r="L12" s="1"/>
    </x:row>
    <x:row r="13" ht="25" customHeight="1">
      <x:c r="A13" s="1" t="str">
        <x:v>D05</x:v>
      </x:c>
      <x:c r="B13" s="1" t="str">
        <x:v>Developer treasury</x:v>
      </x:c>
      <x:c r="C13" s="10"/>
      <x:c r="D13" s="10"/>
      <x:c r="E13" s="10"/>
      <x:c r="F13" s="10"/>
      <x:c r="G13" s="1" t="str">
        <x:v>Founder</x:v>
      </x:c>
      <x:c r="H13" s="1" t="str">
        <x:v>Not contacted</x:v>
      </x:c>
      <x:c r="I13" s="1" t="str">
        <x:v>Not requested</x:v>
      </x:c>
      <x:c r="J13" s="9"/>
      <x:c r="K13" s="1" t="str">
        <x:v>Research public contact</x:v>
      </x:c>
      <x:c r="L13" s="1"/>
    </x:row>
    <x:row r="14" ht="25" customHeight="1">
      <x:c r="A14" s="1" t="str">
        <x:v>D06</x:v>
      </x:c>
      <x:c r="B14" s="1" t="str">
        <x:v>Developer treasury</x:v>
      </x:c>
      <x:c r="C14" s="10"/>
      <x:c r="D14" s="10"/>
      <x:c r="E14" s="10"/>
      <x:c r="F14" s="10"/>
      <x:c r="G14" s="1" t="str">
        <x:v>Founder</x:v>
      </x:c>
      <x:c r="H14" s="1" t="str">
        <x:v>Not contacted</x:v>
      </x:c>
      <x:c r="I14" s="1" t="str">
        <x:v>Not requested</x:v>
      </x:c>
      <x:c r="J14" s="9"/>
      <x:c r="K14" s="1" t="str">
        <x:v>Research public contact</x:v>
      </x:c>
      <x:c r="L14" s="1"/>
    </x:row>
    <x:row r="15" ht="25" customHeight="1">
      <x:c r="A15" s="1" t="str">
        <x:v>D07</x:v>
      </x:c>
      <x:c r="B15" s="1" t="str">
        <x:v>Developer treasury</x:v>
      </x:c>
      <x:c r="C15" s="10"/>
      <x:c r="D15" s="10"/>
      <x:c r="E15" s="10"/>
      <x:c r="F15" s="10"/>
      <x:c r="G15" s="1" t="str">
        <x:v>Founder</x:v>
      </x:c>
      <x:c r="H15" s="1" t="str">
        <x:v>Not contacted</x:v>
      </x:c>
      <x:c r="I15" s="1" t="str">
        <x:v>Not requested</x:v>
      </x:c>
      <x:c r="J15" s="9"/>
      <x:c r="K15" s="1" t="str">
        <x:v>Research public contact</x:v>
      </x:c>
      <x:c r="L15" s="1"/>
    </x:row>
    <x:row r="16" ht="25" customHeight="1">
      <x:c r="A16" s="1" t="str">
        <x:v>D08</x:v>
      </x:c>
      <x:c r="B16" s="1" t="str">
        <x:v>Developer treasury</x:v>
      </x:c>
      <x:c r="C16" s="10"/>
      <x:c r="D16" s="10"/>
      <x:c r="E16" s="10"/>
      <x:c r="F16" s="10"/>
      <x:c r="G16" s="1" t="str">
        <x:v>Founder</x:v>
      </x:c>
      <x:c r="H16" s="1" t="str">
        <x:v>Not contacted</x:v>
      </x:c>
      <x:c r="I16" s="1" t="str">
        <x:v>Not requested</x:v>
      </x:c>
      <x:c r="J16" s="9"/>
      <x:c r="K16" s="1" t="str">
        <x:v>Research public contact</x:v>
      </x:c>
      <x:c r="L16" s="1"/>
    </x:row>
    <x:row r="17" ht="25" customHeight="1">
      <x:c r="A17" s="1" t="str">
        <x:v>D09</x:v>
      </x:c>
      <x:c r="B17" s="1" t="str">
        <x:v>Developer treasury</x:v>
      </x:c>
      <x:c r="C17" s="10"/>
      <x:c r="D17" s="10"/>
      <x:c r="E17" s="10"/>
      <x:c r="F17" s="10"/>
      <x:c r="G17" s="1" t="str">
        <x:v>Founder</x:v>
      </x:c>
      <x:c r="H17" s="1" t="str">
        <x:v>Not contacted</x:v>
      </x:c>
      <x:c r="I17" s="1" t="str">
        <x:v>Not requested</x:v>
      </x:c>
      <x:c r="J17" s="9"/>
      <x:c r="K17" s="1" t="str">
        <x:v>Research public contact</x:v>
      </x:c>
      <x:c r="L17" s="1"/>
    </x:row>
    <x:row r="18" ht="25" customHeight="1">
      <x:c r="A18" s="1" t="str">
        <x:v>D10</x:v>
      </x:c>
      <x:c r="B18" s="1" t="str">
        <x:v>Developer treasury</x:v>
      </x:c>
      <x:c r="C18" s="10"/>
      <x:c r="D18" s="10"/>
      <x:c r="E18" s="10"/>
      <x:c r="F18" s="10"/>
      <x:c r="G18" s="1" t="str">
        <x:v>Founder</x:v>
      </x:c>
      <x:c r="H18" s="1" t="str">
        <x:v>Not contacted</x:v>
      </x:c>
      <x:c r="I18" s="1" t="str">
        <x:v>Not requested</x:v>
      </x:c>
      <x:c r="J18" s="9"/>
      <x:c r="K18" s="1" t="str">
        <x:v>Research public contact</x:v>
      </x:c>
      <x:c r="L18" s="1"/>
    </x:row>
    <x:row r="19" ht="25" customHeight="1">
      <x:c r="A19" s="1" t="str">
        <x:v>D11</x:v>
      </x:c>
      <x:c r="B19" s="1" t="str">
        <x:v>Developer treasury</x:v>
      </x:c>
      <x:c r="C19" s="10"/>
      <x:c r="D19" s="10"/>
      <x:c r="E19" s="10"/>
      <x:c r="F19" s="10"/>
      <x:c r="G19" s="1" t="str">
        <x:v>Founder</x:v>
      </x:c>
      <x:c r="H19" s="1" t="str">
        <x:v>Not contacted</x:v>
      </x:c>
      <x:c r="I19" s="1" t="str">
        <x:v>Not requested</x:v>
      </x:c>
      <x:c r="J19" s="9"/>
      <x:c r="K19" s="1" t="str">
        <x:v>Research public contact</x:v>
      </x:c>
      <x:c r="L19" s="1"/>
    </x:row>
    <x:row r="20" ht="25" customHeight="1">
      <x:c r="A20" s="1" t="str">
        <x:v>D12</x:v>
      </x:c>
      <x:c r="B20" s="1" t="str">
        <x:v>Developer treasury</x:v>
      </x:c>
      <x:c r="C20" s="10"/>
      <x:c r="D20" s="10"/>
      <x:c r="E20" s="10"/>
      <x:c r="F20" s="10"/>
      <x:c r="G20" s="1" t="str">
        <x:v>Founder</x:v>
      </x:c>
      <x:c r="H20" s="1" t="str">
        <x:v>Not contacted</x:v>
      </x:c>
      <x:c r="I20" s="1" t="str">
        <x:v>Not requested</x:v>
      </x:c>
      <x:c r="J20" s="9"/>
      <x:c r="K20" s="1" t="str">
        <x:v>Research public contact</x:v>
      </x:c>
      <x:c r="L20" s="1"/>
    </x:row>
    <x:row r="21" ht="25" customHeight="1">
      <x:c r="A21" s="1" t="str">
        <x:v>D13</x:v>
      </x:c>
      <x:c r="B21" s="1" t="str">
        <x:v>Developer treasury</x:v>
      </x:c>
      <x:c r="C21" s="10"/>
      <x:c r="D21" s="10"/>
      <x:c r="E21" s="10"/>
      <x:c r="F21" s="10"/>
      <x:c r="G21" s="1" t="str">
        <x:v>Founder</x:v>
      </x:c>
      <x:c r="H21" s="1" t="str">
        <x:v>Not contacted</x:v>
      </x:c>
      <x:c r="I21" s="1" t="str">
        <x:v>Not requested</x:v>
      </x:c>
      <x:c r="J21" s="9"/>
      <x:c r="K21" s="1" t="str">
        <x:v>Research public contact</x:v>
      </x:c>
      <x:c r="L21" s="1"/>
    </x:row>
    <x:row r="22" ht="25" customHeight="1">
      <x:c r="A22" s="1" t="str">
        <x:v>D14</x:v>
      </x:c>
      <x:c r="B22" s="1" t="str">
        <x:v>Developer treasury</x:v>
      </x:c>
      <x:c r="C22" s="10"/>
      <x:c r="D22" s="10"/>
      <x:c r="E22" s="10"/>
      <x:c r="F22" s="10"/>
      <x:c r="G22" s="1" t="str">
        <x:v>Founder</x:v>
      </x:c>
      <x:c r="H22" s="1" t="str">
        <x:v>Not contacted</x:v>
      </x:c>
      <x:c r="I22" s="1" t="str">
        <x:v>Not requested</x:v>
      </x:c>
      <x:c r="J22" s="9"/>
      <x:c r="K22" s="1" t="str">
        <x:v>Research public contact</x:v>
      </x:c>
      <x:c r="L22" s="1"/>
    </x:row>
    <x:row r="23" ht="25" customHeight="1">
      <x:c r="A23" s="1" t="str">
        <x:v>D15</x:v>
      </x:c>
      <x:c r="B23" s="1" t="str">
        <x:v>Developer treasury</x:v>
      </x:c>
      <x:c r="C23" s="10"/>
      <x:c r="D23" s="10"/>
      <x:c r="E23" s="10"/>
      <x:c r="F23" s="10"/>
      <x:c r="G23" s="1" t="str">
        <x:v>Founder</x:v>
      </x:c>
      <x:c r="H23" s="1" t="str">
        <x:v>Not contacted</x:v>
      </x:c>
      <x:c r="I23" s="1" t="str">
        <x:v>Not requested</x:v>
      </x:c>
      <x:c r="J23" s="9"/>
      <x:c r="K23" s="1" t="str">
        <x:v>Research public contact</x:v>
      </x:c>
      <x:c r="L23" s="1"/>
    </x:row>
    <x:row r="24" ht="25" customHeight="1">
      <x:c r="A24" s="1" t="str">
        <x:v>C01</x:v>
      </x:c>
      <x:c r="B24" s="1" t="str">
        <x:v>Relevant counsel</x:v>
      </x:c>
      <x:c r="C24" s="10"/>
      <x:c r="D24" s="10"/>
      <x:c r="E24" s="10"/>
      <x:c r="F24" s="10"/>
      <x:c r="G24" s="1" t="str">
        <x:v>Founder</x:v>
      </x:c>
      <x:c r="H24" s="1" t="str">
        <x:v>Not contacted</x:v>
      </x:c>
      <x:c r="I24" s="1" t="str">
        <x:v>Not requested</x:v>
      </x:c>
      <x:c r="J24" s="9"/>
      <x:c r="K24" s="1" t="str">
        <x:v>Research public contact</x:v>
      </x:c>
      <x:c r="L24" s="1"/>
    </x:row>
    <x:row r="25" ht="25" customHeight="1">
      <x:c r="A25" s="1" t="str">
        <x:v>C02</x:v>
      </x:c>
      <x:c r="B25" s="1" t="str">
        <x:v>Relevant counsel</x:v>
      </x:c>
      <x:c r="C25" s="10"/>
      <x:c r="D25" s="10"/>
      <x:c r="E25" s="10"/>
      <x:c r="F25" s="10"/>
      <x:c r="G25" s="1" t="str">
        <x:v>Founder</x:v>
      </x:c>
      <x:c r="H25" s="1" t="str">
        <x:v>Not contacted</x:v>
      </x:c>
      <x:c r="I25" s="1" t="str">
        <x:v>Not requested</x:v>
      </x:c>
      <x:c r="J25" s="9"/>
      <x:c r="K25" s="1" t="str">
        <x:v>Research public contact</x:v>
      </x:c>
      <x:c r="L25" s="1"/>
    </x:row>
    <x:row r="26" ht="25" customHeight="1">
      <x:c r="A26" s="1" t="str">
        <x:v>C03</x:v>
      </x:c>
      <x:c r="B26" s="1" t="str">
        <x:v>Relevant counsel</x:v>
      </x:c>
      <x:c r="C26" s="10"/>
      <x:c r="D26" s="10"/>
      <x:c r="E26" s="10"/>
      <x:c r="F26" s="10"/>
      <x:c r="G26" s="1" t="str">
        <x:v>Founder</x:v>
      </x:c>
      <x:c r="H26" s="1" t="str">
        <x:v>Not contacted</x:v>
      </x:c>
      <x:c r="I26" s="1" t="str">
        <x:v>Not requested</x:v>
      </x:c>
      <x:c r="J26" s="9"/>
      <x:c r="K26" s="1" t="str">
        <x:v>Research public contact</x:v>
      </x:c>
      <x:c r="L26" s="1"/>
    </x:row>
    <x:row r="27" ht="25" customHeight="1">
      <x:c r="A27" s="1" t="str">
        <x:v>C04</x:v>
      </x:c>
      <x:c r="B27" s="1" t="str">
        <x:v>Relevant counsel</x:v>
      </x:c>
      <x:c r="C27" s="10"/>
      <x:c r="D27" s="10"/>
      <x:c r="E27" s="10"/>
      <x:c r="F27" s="10"/>
      <x:c r="G27" s="1" t="str">
        <x:v>Founder</x:v>
      </x:c>
      <x:c r="H27" s="1" t="str">
        <x:v>Not contacted</x:v>
      </x:c>
      <x:c r="I27" s="1" t="str">
        <x:v>Not requested</x:v>
      </x:c>
      <x:c r="J27" s="9"/>
      <x:c r="K27" s="1" t="str">
        <x:v>Research public contact</x:v>
      </x:c>
      <x:c r="L27" s="1"/>
    </x:row>
    <x:row r="28" ht="25" customHeight="1">
      <x:c r="A28" s="1" t="str">
        <x:v>C05</x:v>
      </x:c>
      <x:c r="B28" s="1" t="str">
        <x:v>Relevant counsel</x:v>
      </x:c>
      <x:c r="C28" s="10"/>
      <x:c r="D28" s="10"/>
      <x:c r="E28" s="10"/>
      <x:c r="F28" s="10"/>
      <x:c r="G28" s="1" t="str">
        <x:v>Founder</x:v>
      </x:c>
      <x:c r="H28" s="1" t="str">
        <x:v>Not contacted</x:v>
      </x:c>
      <x:c r="I28" s="1" t="str">
        <x:v>Not requested</x:v>
      </x:c>
      <x:c r="J28" s="9"/>
      <x:c r="K28" s="1" t="str">
        <x:v>Research public contact</x:v>
      </x:c>
      <x:c r="L28" s="1"/>
    </x:row>
    <x:row r="29" ht="25" customHeight="1">
      <x:c r="A29" s="1" t="str">
        <x:v>B01</x:v>
      </x:c>
      <x:c r="B29" s="1" t="str">
        <x:v>Bank / utility</x:v>
      </x:c>
      <x:c r="C29" s="10"/>
      <x:c r="D29" s="10"/>
      <x:c r="E29" s="10"/>
      <x:c r="F29" s="10"/>
      <x:c r="G29" s="1" t="str">
        <x:v>Founder</x:v>
      </x:c>
      <x:c r="H29" s="1" t="str">
        <x:v>Not contacted</x:v>
      </x:c>
      <x:c r="I29" s="1" t="str">
        <x:v>Not requested</x:v>
      </x:c>
      <x:c r="J29" s="9"/>
      <x:c r="K29" s="1" t="str">
        <x:v>Research public contact</x:v>
      </x:c>
      <x:c r="L29" s="1"/>
    </x:row>
    <x:row r="30" ht="25" customHeight="1">
      <x:c r="A30" s="1" t="str">
        <x:v>B02</x:v>
      </x:c>
      <x:c r="B30" s="1" t="str">
        <x:v>Bank / utility</x:v>
      </x:c>
      <x:c r="C30" s="10"/>
      <x:c r="D30" s="10"/>
      <x:c r="E30" s="10"/>
      <x:c r="F30" s="10"/>
      <x:c r="G30" s="1" t="str">
        <x:v>Founder</x:v>
      </x:c>
      <x:c r="H30" s="1" t="str">
        <x:v>Not contacted</x:v>
      </x:c>
      <x:c r="I30" s="1" t="str">
        <x:v>Not requested</x:v>
      </x:c>
      <x:c r="J30" s="9"/>
      <x:c r="K30" s="1" t="str">
        <x:v>Research public contact</x:v>
      </x:c>
      <x:c r="L30" s="1"/>
    </x:row>
    <x:row r="31" ht="25" customHeight="1">
      <x:c r="A31" s="1" t="str">
        <x:v>B03</x:v>
      </x:c>
      <x:c r="B31" s="1" t="str">
        <x:v>Bank / utility</x:v>
      </x:c>
      <x:c r="C31" s="10"/>
      <x:c r="D31" s="10"/>
      <x:c r="E31" s="10"/>
      <x:c r="F31" s="10"/>
      <x:c r="G31" s="1" t="str">
        <x:v>Founder</x:v>
      </x:c>
      <x:c r="H31" s="1" t="str">
        <x:v>Not contacted</x:v>
      </x:c>
      <x:c r="I31" s="1" t="str">
        <x:v>Not requested</x:v>
      </x:c>
      <x:c r="J31" s="9"/>
      <x:c r="K31" s="1" t="str">
        <x:v>Research public contact</x:v>
      </x:c>
      <x:c r="L31" s="1"/>
    </x:row>
    <x:row r="32" ht="25" customHeight="1">
      <x:c r="A32" s="1" t="str">
        <x:v>B04</x:v>
      </x:c>
      <x:c r="B32" s="1" t="str">
        <x:v>Bank / utility</x:v>
      </x:c>
      <x:c r="C32" s="10"/>
      <x:c r="D32" s="10"/>
      <x:c r="E32" s="10"/>
      <x:c r="F32" s="10"/>
      <x:c r="G32" s="1" t="str">
        <x:v>Founder</x:v>
      </x:c>
      <x:c r="H32" s="1" t="str">
        <x:v>Not contacted</x:v>
      </x:c>
      <x:c r="I32" s="1" t="str">
        <x:v>Not requested</x:v>
      </x:c>
      <x:c r="J32" s="9"/>
      <x:c r="K32" s="1" t="str">
        <x:v>Research public contact</x:v>
      </x:c>
      <x:c r="L32" s="1"/>
    </x:row>
    <x:row r="33" ht="25" customHeight="1">
      <x:c r="A33" s="1" t="str">
        <x:v>B05</x:v>
      </x:c>
      <x:c r="B33" s="1" t="str">
        <x:v>Bank / utility</x:v>
      </x:c>
      <x:c r="C33" s="10"/>
      <x:c r="D33" s="10"/>
      <x:c r="E33" s="10"/>
      <x:c r="F33" s="10"/>
      <x:c r="G33" s="1" t="str">
        <x:v>Founder</x:v>
      </x:c>
      <x:c r="H33" s="1" t="str">
        <x:v>Not contacted</x:v>
      </x:c>
      <x:c r="I33" s="1" t="str">
        <x:v>Not requested</x:v>
      </x:c>
      <x:c r="J33" s="9"/>
      <x:c r="K33" s="1" t="str">
        <x:v>Research public contact</x:v>
      </x:c>
      <x:c r="L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dataValidations count="2">
    <x:dataValidation type="list" sqref="H9:H33">
      <x:formula1>"Not contacted,Requested,Scheduled,Interview completed,Declined"</x:formula1>
    </x:dataValidation>
    <x:dataValidation type="list" sqref="I9:I33">
      <x:formula1>"Not requested,Requested,Committed,Received,Declined"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a73802b32041f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25" customHeight="1">
      <x:c r="A2" s="2" t="str">
        <x:v>Daily instrument reconstruction</x:v>
      </x:c>
      <x:c r="B2" s="1"/>
      <x:c r="C2" s="1"/>
      <x:c r="D2" s="1"/>
      <x:c r="E2" s="1"/>
      <x:c r="F2" s="1"/>
      <x:c r="G2" s="1"/>
    </x:row>
    <x:row r="3" ht="25" customHeight="1">
      <x:c r="A3" s="3" t="str">
        <x:v>Documented face is separate from facility usage, cash collateral and customer value. Enter reviewed instrument-days on the source tab.</x:v>
      </x:c>
      <x:c r="B3" s="1"/>
      <x:c r="C3" s="1"/>
      <x:c r="D3" s="1"/>
      <x:c r="E3" s="1"/>
      <x:c r="F3" s="1"/>
      <x:c r="G3" s="1"/>
    </x:row>
    <x:row r="4" ht="25" customHeight="1">
      <x:c r="A4" s="1" t="str">
        <x:v>First date</x:v>
      </x:c>
      <x:c r="B4" s="11"/>
      <x:c r="C4" s="1"/>
      <x:c r="D4" s="1"/>
      <x:c r="E4" s="1"/>
      <x:c r="F4" s="1"/>
      <x:c r="G4" s="1"/>
    </x:row>
    <x:row r="5" ht="25" customHeight="1">
      <x:c r="A5" s="1" t="str">
        <x:v>Economic project ID</x:v>
      </x:c>
      <x:c r="B5" s="10"/>
      <x:c r="C5" s="1"/>
      <x:c r="D5" s="1"/>
      <x:c r="E5" s="1"/>
      <x:c r="F5" s="1"/>
      <x:c r="G5" s="1"/>
    </x:row>
    <x:row r="6" ht="25" customHeight="1">
      <x:c r="A6" s="1"/>
      <x:c r="B6" s="1"/>
      <x:c r="C6" s="1"/>
      <x:c r="D6" s="1"/>
      <x:c r="E6" s="1"/>
      <x:c r="F6" s="1"/>
      <x:c r="G6" s="1"/>
    </x:row>
    <x:row r="7" ht="42" customHeight="1">
      <x:c r="A7" s="8" t="str">
        <x:v>Date</x:v>
      </x:c>
      <x:c r="B7" s="8" t="str">
        <x:v>Project ID</x:v>
      </x:c>
      <x:c r="C7" s="8" t="str">
        <x:v>Instrument rows</x:v>
      </x:c>
      <x:c r="D7" s="8" t="str">
        <x:v>Documented face USD</x:v>
      </x:c>
      <x:c r="E7" s="8" t="str">
        <x:v>Alternative-site face USD</x:v>
      </x:c>
      <x:c r="F7" s="8" t="str">
        <x:v>Coverage</x:v>
      </x:c>
      <x:c r="G7" s="1"/>
    </x:row>
    <x:row r="8" ht="25" customHeight="1">
      <x:c r="A8" s="9" t="str">
        <x:f>IF(ISNUMBER($B$4),$B$4+0,"")</x:f>
      </x:c>
      <x:c r="B8" s="1" t="str">
        <x:f>IF($B$5="","",$B$5)</x:f>
      </x:c>
      <x:c r="C8" s="1" t="str">
        <x:f>IF(OR(A8="",B8=""),"",COUNTIFS('Instrument days'!$A$8:$A$207,A8,'Instrument days'!$B$8:$B$207,B8))</x:f>
      </x:c>
      <x:c r="D8" s="12" t="str">
        <x:f>IF(OR(C8="",C8=0),"n.a.",IF(COUNTIFS('Instrument days'!$A$8:$A$207,A8,'Instrument days'!$B$8:$B$207,B8,'Instrument days'!$O$8:$O$207,"READY")&lt;&gt;C8,"n.a.",SUMIFS('Instrument days'!$G$8:$G$207,'Instrument days'!$A$8:$A$207,A8,'Instrument days'!$B$8:$B$207,B8)))</x:f>
        <x:v>n.a.</x:v>
      </x:c>
      <x:c r="E8" s="12" t="str">
        <x:f>IF(ISNUMBER(D8),SUMIFS('Instrument days'!$G$8:$G$207,'Instrument days'!$A$8:$A$207,A8,'Instrument days'!$B$8:$B$207,B8,'Instrument days'!$H$8:$H$207,"YES"),"n.a.")</x:f>
        <x:v>n.a.</x:v>
      </x:c>
      <x:c r="F8" s="1" t="str">
        <x:f>IF(OR(C8="",C8=0),"No source rows",IF(ISNUMBER(D8),"Source rows complete","Missing source inputs"))</x:f>
        <x:v>No source rows</x:v>
      </x:c>
      <x:c r="G8" s="1"/>
    </x:row>
    <x:row r="9" ht="25" customHeight="1">
      <x:c r="A9" s="9" t="str">
        <x:f>IF(ISNUMBER($B$4),$B$4+1,"")</x:f>
      </x:c>
      <x:c r="B9" s="1" t="str">
        <x:f>IF($B$5="","",$B$5)</x:f>
      </x:c>
      <x:c r="C9" s="1" t="str">
        <x:f>IF(OR(A9="",B9=""),"",COUNTIFS('Instrument days'!$A$8:$A$207,A9,'Instrument days'!$B$8:$B$207,B9))</x:f>
      </x:c>
      <x:c r="D9" s="12" t="str">
        <x:f>IF(OR(C9="",C9=0),"n.a.",IF(COUNTIFS('Instrument days'!$A$8:$A$207,A9,'Instrument days'!$B$8:$B$207,B9,'Instrument days'!$O$8:$O$207,"READY")&lt;&gt;C9,"n.a.",SUMIFS('Instrument days'!$G$8:$G$207,'Instrument days'!$A$8:$A$207,A9,'Instrument days'!$B$8:$B$207,B9)))</x:f>
        <x:v>n.a.</x:v>
      </x:c>
      <x:c r="E9" s="12" t="str">
        <x:f>IF(ISNUMBER(D9),SUMIFS('Instrument days'!$G$8:$G$207,'Instrument days'!$A$8:$A$207,A9,'Instrument days'!$B$8:$B$207,B9,'Instrument days'!$H$8:$H$207,"YES"),"n.a.")</x:f>
        <x:v>n.a.</x:v>
      </x:c>
      <x:c r="F9" s="1" t="str">
        <x:f>IF(OR(C9="",C9=0),"No source rows",IF(ISNUMBER(D9),"Source rows complete","Missing source inputs"))</x:f>
        <x:v>No source rows</x:v>
      </x:c>
      <x:c r="G9" s="1"/>
    </x:row>
    <x:row r="10" ht="25" customHeight="1">
      <x:c r="A10" s="9" t="str">
        <x:f>IF(ISNUMBER($B$4),$B$4+2,"")</x:f>
      </x:c>
      <x:c r="B10" s="1" t="str">
        <x:f>IF($B$5="","",$B$5)</x:f>
      </x:c>
      <x:c r="C10" s="1" t="str">
        <x:f>IF(OR(A10="",B10=""),"",COUNTIFS('Instrument days'!$A$8:$A$207,A10,'Instrument days'!$B$8:$B$207,B10))</x:f>
      </x:c>
      <x:c r="D10" s="12" t="str">
        <x:f>IF(OR(C10="",C10=0),"n.a.",IF(COUNTIFS('Instrument days'!$A$8:$A$207,A10,'Instrument days'!$B$8:$B$207,B10,'Instrument days'!$O$8:$O$207,"READY")&lt;&gt;C10,"n.a.",SUMIFS('Instrument days'!$G$8:$G$207,'Instrument days'!$A$8:$A$207,A10,'Instrument days'!$B$8:$B$207,B10)))</x:f>
        <x:v>n.a.</x:v>
      </x:c>
      <x:c r="E10" s="12" t="str">
        <x:f>IF(ISNUMBER(D10),SUMIFS('Instrument days'!$G$8:$G$207,'Instrument days'!$A$8:$A$207,A10,'Instrument days'!$B$8:$B$207,B10,'Instrument days'!$H$8:$H$207,"YES"),"n.a.")</x:f>
        <x:v>n.a.</x:v>
      </x:c>
      <x:c r="F10" s="1" t="str">
        <x:f>IF(OR(C10="",C10=0),"No source rows",IF(ISNUMBER(D10),"Source rows complete","Missing source inputs"))</x:f>
        <x:v>No source rows</x:v>
      </x:c>
      <x:c r="G10" s="1"/>
    </x:row>
    <x:row r="11" ht="25" customHeight="1">
      <x:c r="A11" s="9" t="str">
        <x:f>IF(ISNUMBER($B$4),$B$4+3,"")</x:f>
      </x:c>
      <x:c r="B11" s="1" t="str">
        <x:f>IF($B$5="","",$B$5)</x:f>
      </x:c>
      <x:c r="C11" s="1" t="str">
        <x:f>IF(OR(A11="",B11=""),"",COUNTIFS('Instrument days'!$A$8:$A$207,A11,'Instrument days'!$B$8:$B$207,B11))</x:f>
      </x:c>
      <x:c r="D11" s="12" t="str">
        <x:f>IF(OR(C11="",C11=0),"n.a.",IF(COUNTIFS('Instrument days'!$A$8:$A$207,A11,'Instrument days'!$B$8:$B$207,B11,'Instrument days'!$O$8:$O$207,"READY")&lt;&gt;C11,"n.a.",SUMIFS('Instrument days'!$G$8:$G$207,'Instrument days'!$A$8:$A$207,A11,'Instrument days'!$B$8:$B$207,B11)))</x:f>
        <x:v>n.a.</x:v>
      </x:c>
      <x:c r="E11" s="12" t="str">
        <x:f>IF(ISNUMBER(D11),SUMIFS('Instrument days'!$G$8:$G$207,'Instrument days'!$A$8:$A$207,A11,'Instrument days'!$B$8:$B$207,B11,'Instrument days'!$H$8:$H$207,"YES"),"n.a.")</x:f>
        <x:v>n.a.</x:v>
      </x:c>
      <x:c r="F11" s="1" t="str">
        <x:f>IF(OR(C11="",C11=0),"No source rows",IF(ISNUMBER(D11),"Source rows complete","Missing source inputs"))</x:f>
        <x:v>No source rows</x:v>
      </x:c>
      <x:c r="G11" s="1"/>
    </x:row>
    <x:row r="12" ht="25" customHeight="1">
      <x:c r="A12" s="9" t="str">
        <x:f>IF(ISNUMBER($B$4),$B$4+4,"")</x:f>
      </x:c>
      <x:c r="B12" s="1" t="str">
        <x:f>IF($B$5="","",$B$5)</x:f>
      </x:c>
      <x:c r="C12" s="1" t="str">
        <x:f>IF(OR(A12="",B12=""),"",COUNTIFS('Instrument days'!$A$8:$A$207,A12,'Instrument days'!$B$8:$B$207,B12))</x:f>
      </x:c>
      <x:c r="D12" s="12" t="str">
        <x:f>IF(OR(C12="",C12=0),"n.a.",IF(COUNTIFS('Instrument days'!$A$8:$A$207,A12,'Instrument days'!$B$8:$B$207,B12,'Instrument days'!$O$8:$O$207,"READY")&lt;&gt;C12,"n.a.",SUMIFS('Instrument days'!$G$8:$G$207,'Instrument days'!$A$8:$A$207,A12,'Instrument days'!$B$8:$B$207,B12)))</x:f>
        <x:v>n.a.</x:v>
      </x:c>
      <x:c r="E12" s="12" t="str">
        <x:f>IF(ISNUMBER(D12),SUMIFS('Instrument days'!$G$8:$G$207,'Instrument days'!$A$8:$A$207,A12,'Instrument days'!$B$8:$B$207,B12,'Instrument days'!$H$8:$H$207,"YES"),"n.a.")</x:f>
        <x:v>n.a.</x:v>
      </x:c>
      <x:c r="F12" s="1" t="str">
        <x:f>IF(OR(C12="",C12=0),"No source rows",IF(ISNUMBER(D12),"Source rows complete","Missing source inputs"))</x:f>
        <x:v>No source rows</x:v>
      </x:c>
      <x:c r="G12" s="1"/>
    </x:row>
    <x:row r="13" ht="25" customHeight="1">
      <x:c r="A13" s="9" t="str">
        <x:f>IF(ISNUMBER($B$4),$B$4+5,"")</x:f>
      </x:c>
      <x:c r="B13" s="1" t="str">
        <x:f>IF($B$5="","",$B$5)</x:f>
      </x:c>
      <x:c r="C13" s="1" t="str">
        <x:f>IF(OR(A13="",B13=""),"",COUNTIFS('Instrument days'!$A$8:$A$207,A13,'Instrument days'!$B$8:$B$207,B13))</x:f>
      </x:c>
      <x:c r="D13" s="12" t="str">
        <x:f>IF(OR(C13="",C13=0),"n.a.",IF(COUNTIFS('Instrument days'!$A$8:$A$207,A13,'Instrument days'!$B$8:$B$207,B13,'Instrument days'!$O$8:$O$207,"READY")&lt;&gt;C13,"n.a.",SUMIFS('Instrument days'!$G$8:$G$207,'Instrument days'!$A$8:$A$207,A13,'Instrument days'!$B$8:$B$207,B13)))</x:f>
        <x:v>n.a.</x:v>
      </x:c>
      <x:c r="E13" s="12" t="str">
        <x:f>IF(ISNUMBER(D13),SUMIFS('Instrument days'!$G$8:$G$207,'Instrument days'!$A$8:$A$207,A13,'Instrument days'!$B$8:$B$207,B13,'Instrument days'!$H$8:$H$207,"YES"),"n.a.")</x:f>
        <x:v>n.a.</x:v>
      </x:c>
      <x:c r="F13" s="1" t="str">
        <x:f>IF(OR(C13="",C13=0),"No source rows",IF(ISNUMBER(D13),"Source rows complete","Missing source inputs"))</x:f>
        <x:v>No source rows</x:v>
      </x:c>
      <x:c r="G13" s="1"/>
    </x:row>
    <x:row r="14" ht="25" customHeight="1">
      <x:c r="A14" s="9" t="str">
        <x:f>IF(ISNUMBER($B$4),$B$4+6,"")</x:f>
      </x:c>
      <x:c r="B14" s="1" t="str">
        <x:f>IF($B$5="","",$B$5)</x:f>
      </x:c>
      <x:c r="C14" s="1" t="str">
        <x:f>IF(OR(A14="",B14=""),"",COUNTIFS('Instrument days'!$A$8:$A$207,A14,'Instrument days'!$B$8:$B$207,B14))</x:f>
      </x:c>
      <x:c r="D14" s="12" t="str">
        <x:f>IF(OR(C14="",C14=0),"n.a.",IF(COUNTIFS('Instrument days'!$A$8:$A$207,A14,'Instrument days'!$B$8:$B$207,B14,'Instrument days'!$O$8:$O$207,"READY")&lt;&gt;C14,"n.a.",SUMIFS('Instrument days'!$G$8:$G$207,'Instrument days'!$A$8:$A$207,A14,'Instrument days'!$B$8:$B$207,B14)))</x:f>
        <x:v>n.a.</x:v>
      </x:c>
      <x:c r="E14" s="12" t="str">
        <x:f>IF(ISNUMBER(D14),SUMIFS('Instrument days'!$G$8:$G$207,'Instrument days'!$A$8:$A$207,A14,'Instrument days'!$B$8:$B$207,B14,'Instrument days'!$H$8:$H$207,"YES"),"n.a.")</x:f>
        <x:v>n.a.</x:v>
      </x:c>
      <x:c r="F14" s="1" t="str">
        <x:f>IF(OR(C14="",C14=0),"No source rows",IF(ISNUMBER(D14),"Source rows complete","Missing source inputs"))</x:f>
        <x:v>No source rows</x:v>
      </x:c>
      <x:c r="G14" s="1"/>
    </x:row>
    <x:row r="15" ht="25" customHeight="1">
      <x:c r="A15" s="9" t="str">
        <x:f>IF(ISNUMBER($B$4),$B$4+7,"")</x:f>
      </x:c>
      <x:c r="B15" s="1" t="str">
        <x:f>IF($B$5="","",$B$5)</x:f>
      </x:c>
      <x:c r="C15" s="1" t="str">
        <x:f>IF(OR(A15="",B15=""),"",COUNTIFS('Instrument days'!$A$8:$A$207,A15,'Instrument days'!$B$8:$B$207,B15))</x:f>
      </x:c>
      <x:c r="D15" s="12" t="str">
        <x:f>IF(OR(C15="",C15=0),"n.a.",IF(COUNTIFS('Instrument days'!$A$8:$A$207,A15,'Instrument days'!$B$8:$B$207,B15,'Instrument days'!$O$8:$O$207,"READY")&lt;&gt;C15,"n.a.",SUMIFS('Instrument days'!$G$8:$G$207,'Instrument days'!$A$8:$A$207,A15,'Instrument days'!$B$8:$B$207,B15)))</x:f>
        <x:v>n.a.</x:v>
      </x:c>
      <x:c r="E15" s="12" t="str">
        <x:f>IF(ISNUMBER(D15),SUMIFS('Instrument days'!$G$8:$G$207,'Instrument days'!$A$8:$A$207,A15,'Instrument days'!$B$8:$B$207,B15,'Instrument days'!$H$8:$H$207,"YES"),"n.a.")</x:f>
        <x:v>n.a.</x:v>
      </x:c>
      <x:c r="F15" s="1" t="str">
        <x:f>IF(OR(C15="",C15=0),"No source rows",IF(ISNUMBER(D15),"Source rows complete","Missing source inputs"))</x:f>
        <x:v>No source rows</x:v>
      </x:c>
      <x:c r="G15" s="1"/>
    </x:row>
    <x:row r="16" ht="25" customHeight="1">
      <x:c r="A16" s="9" t="str">
        <x:f>IF(ISNUMBER($B$4),$B$4+8,"")</x:f>
      </x:c>
      <x:c r="B16" s="1" t="str">
        <x:f>IF($B$5="","",$B$5)</x:f>
      </x:c>
      <x:c r="C16" s="1" t="str">
        <x:f>IF(OR(A16="",B16=""),"",COUNTIFS('Instrument days'!$A$8:$A$207,A16,'Instrument days'!$B$8:$B$207,B16))</x:f>
      </x:c>
      <x:c r="D16" s="12" t="str">
        <x:f>IF(OR(C16="",C16=0),"n.a.",IF(COUNTIFS('Instrument days'!$A$8:$A$207,A16,'Instrument days'!$B$8:$B$207,B16,'Instrument days'!$O$8:$O$207,"READY")&lt;&gt;C16,"n.a.",SUMIFS('Instrument days'!$G$8:$G$207,'Instrument days'!$A$8:$A$207,A16,'Instrument days'!$B$8:$B$207,B16)))</x:f>
        <x:v>n.a.</x:v>
      </x:c>
      <x:c r="E16" s="12" t="str">
        <x:f>IF(ISNUMBER(D16),SUMIFS('Instrument days'!$G$8:$G$207,'Instrument days'!$A$8:$A$207,A16,'Instrument days'!$B$8:$B$207,B16,'Instrument days'!$H$8:$H$207,"YES"),"n.a.")</x:f>
        <x:v>n.a.</x:v>
      </x:c>
      <x:c r="F16" s="1" t="str">
        <x:f>IF(OR(C16="",C16=0),"No source rows",IF(ISNUMBER(D16),"Source rows complete","Missing source inputs"))</x:f>
        <x:v>No source rows</x:v>
      </x:c>
      <x:c r="G16" s="1"/>
    </x:row>
    <x:row r="17" ht="25" customHeight="1">
      <x:c r="A17" s="9" t="str">
        <x:f>IF(ISNUMBER($B$4),$B$4+9,"")</x:f>
      </x:c>
      <x:c r="B17" s="1" t="str">
        <x:f>IF($B$5="","",$B$5)</x:f>
      </x:c>
      <x:c r="C17" s="1" t="str">
        <x:f>IF(OR(A17="",B17=""),"",COUNTIFS('Instrument days'!$A$8:$A$207,A17,'Instrument days'!$B$8:$B$207,B17))</x:f>
      </x:c>
      <x:c r="D17" s="12" t="str">
        <x:f>IF(OR(C17="",C17=0),"n.a.",IF(COUNTIFS('Instrument days'!$A$8:$A$207,A17,'Instrument days'!$B$8:$B$207,B17,'Instrument days'!$O$8:$O$207,"READY")&lt;&gt;C17,"n.a.",SUMIFS('Instrument days'!$G$8:$G$207,'Instrument days'!$A$8:$A$207,A17,'Instrument days'!$B$8:$B$207,B17)))</x:f>
        <x:v>n.a.</x:v>
      </x:c>
      <x:c r="E17" s="12" t="str">
        <x:f>IF(ISNUMBER(D17),SUMIFS('Instrument days'!$G$8:$G$207,'Instrument days'!$A$8:$A$207,A17,'Instrument days'!$B$8:$B$207,B17,'Instrument days'!$H$8:$H$207,"YES"),"n.a.")</x:f>
        <x:v>n.a.</x:v>
      </x:c>
      <x:c r="F17" s="1" t="str">
        <x:f>IF(OR(C17="",C17=0),"No source rows",IF(ISNUMBER(D17),"Source rows complete","Missing source inputs"))</x:f>
        <x:v>No source rows</x:v>
      </x:c>
      <x:c r="G17" s="1"/>
    </x:row>
    <x:row r="18" ht="25" customHeight="1">
      <x:c r="A18" s="9" t="str">
        <x:f>IF(ISNUMBER($B$4),$B$4+10,"")</x:f>
      </x:c>
      <x:c r="B18" s="1" t="str">
        <x:f>IF($B$5="","",$B$5)</x:f>
      </x:c>
      <x:c r="C18" s="1" t="str">
        <x:f>IF(OR(A18="",B18=""),"",COUNTIFS('Instrument days'!$A$8:$A$207,A18,'Instrument days'!$B$8:$B$207,B18))</x:f>
      </x:c>
      <x:c r="D18" s="12" t="str">
        <x:f>IF(OR(C18="",C18=0),"n.a.",IF(COUNTIFS('Instrument days'!$A$8:$A$207,A18,'Instrument days'!$B$8:$B$207,B18,'Instrument days'!$O$8:$O$207,"READY")&lt;&gt;C18,"n.a.",SUMIFS('Instrument days'!$G$8:$G$207,'Instrument days'!$A$8:$A$207,A18,'Instrument days'!$B$8:$B$207,B18)))</x:f>
        <x:v>n.a.</x:v>
      </x:c>
      <x:c r="E18" s="12" t="str">
        <x:f>IF(ISNUMBER(D18),SUMIFS('Instrument days'!$G$8:$G$207,'Instrument days'!$A$8:$A$207,A18,'Instrument days'!$B$8:$B$207,B18,'Instrument days'!$H$8:$H$207,"YES"),"n.a.")</x:f>
        <x:v>n.a.</x:v>
      </x:c>
      <x:c r="F18" s="1" t="str">
        <x:f>IF(OR(C18="",C18=0),"No source rows",IF(ISNUMBER(D18),"Source rows complete","Missing source inputs"))</x:f>
        <x:v>No source rows</x:v>
      </x:c>
      <x:c r="G18" s="1"/>
    </x:row>
    <x:row r="19" ht="25" customHeight="1">
      <x:c r="A19" s="9" t="str">
        <x:f>IF(ISNUMBER($B$4),$B$4+11,"")</x:f>
      </x:c>
      <x:c r="B19" s="1" t="str">
        <x:f>IF($B$5="","",$B$5)</x:f>
      </x:c>
      <x:c r="C19" s="1" t="str">
        <x:f>IF(OR(A19="",B19=""),"",COUNTIFS('Instrument days'!$A$8:$A$207,A19,'Instrument days'!$B$8:$B$207,B19))</x:f>
      </x:c>
      <x:c r="D19" s="12" t="str">
        <x:f>IF(OR(C19="",C19=0),"n.a.",IF(COUNTIFS('Instrument days'!$A$8:$A$207,A19,'Instrument days'!$B$8:$B$207,B19,'Instrument days'!$O$8:$O$207,"READY")&lt;&gt;C19,"n.a.",SUMIFS('Instrument days'!$G$8:$G$207,'Instrument days'!$A$8:$A$207,A19,'Instrument days'!$B$8:$B$207,B19)))</x:f>
        <x:v>n.a.</x:v>
      </x:c>
      <x:c r="E19" s="12" t="str">
        <x:f>IF(ISNUMBER(D19),SUMIFS('Instrument days'!$G$8:$G$207,'Instrument days'!$A$8:$A$207,A19,'Instrument days'!$B$8:$B$207,B19,'Instrument days'!$H$8:$H$207,"YES"),"n.a.")</x:f>
        <x:v>n.a.</x:v>
      </x:c>
      <x:c r="F19" s="1" t="str">
        <x:f>IF(OR(C19="",C19=0),"No source rows",IF(ISNUMBER(D19),"Source rows complete","Missing source inputs"))</x:f>
        <x:v>No source rows</x:v>
      </x:c>
      <x:c r="G19" s="1"/>
    </x:row>
    <x:row r="20" ht="25" customHeight="1">
      <x:c r="A20" s="9" t="str">
        <x:f>IF(ISNUMBER($B$4),$B$4+12,"")</x:f>
      </x:c>
      <x:c r="B20" s="1" t="str">
        <x:f>IF($B$5="","",$B$5)</x:f>
      </x:c>
      <x:c r="C20" s="1" t="str">
        <x:f>IF(OR(A20="",B20=""),"",COUNTIFS('Instrument days'!$A$8:$A$207,A20,'Instrument days'!$B$8:$B$207,B20))</x:f>
      </x:c>
      <x:c r="D20" s="12" t="str">
        <x:f>IF(OR(C20="",C20=0),"n.a.",IF(COUNTIFS('Instrument days'!$A$8:$A$207,A20,'Instrument days'!$B$8:$B$207,B20,'Instrument days'!$O$8:$O$207,"READY")&lt;&gt;C20,"n.a.",SUMIFS('Instrument days'!$G$8:$G$207,'Instrument days'!$A$8:$A$207,A20,'Instrument days'!$B$8:$B$207,B20)))</x:f>
        <x:v>n.a.</x:v>
      </x:c>
      <x:c r="E20" s="12" t="str">
        <x:f>IF(ISNUMBER(D20),SUMIFS('Instrument days'!$G$8:$G$207,'Instrument days'!$A$8:$A$207,A20,'Instrument days'!$B$8:$B$207,B20,'Instrument days'!$H$8:$H$207,"YES"),"n.a.")</x:f>
        <x:v>n.a.</x:v>
      </x:c>
      <x:c r="F20" s="1" t="str">
        <x:f>IF(OR(C20="",C20=0),"No source rows",IF(ISNUMBER(D20),"Source rows complete","Missing source inputs"))</x:f>
        <x:v>No source rows</x:v>
      </x:c>
      <x:c r="G20" s="1"/>
    </x:row>
    <x:row r="21" ht="25" customHeight="1">
      <x:c r="A21" s="9" t="str">
        <x:f>IF(ISNUMBER($B$4),$B$4+13,"")</x:f>
      </x:c>
      <x:c r="B21" s="1" t="str">
        <x:f>IF($B$5="","",$B$5)</x:f>
      </x:c>
      <x:c r="C21" s="1" t="str">
        <x:f>IF(OR(A21="",B21=""),"",COUNTIFS('Instrument days'!$A$8:$A$207,A21,'Instrument days'!$B$8:$B$207,B21))</x:f>
      </x:c>
      <x:c r="D21" s="12" t="str">
        <x:f>IF(OR(C21="",C21=0),"n.a.",IF(COUNTIFS('Instrument days'!$A$8:$A$207,A21,'Instrument days'!$B$8:$B$207,B21,'Instrument days'!$O$8:$O$207,"READY")&lt;&gt;C21,"n.a.",SUMIFS('Instrument days'!$G$8:$G$207,'Instrument days'!$A$8:$A$207,A21,'Instrument days'!$B$8:$B$207,B21)))</x:f>
        <x:v>n.a.</x:v>
      </x:c>
      <x:c r="E21" s="12" t="str">
        <x:f>IF(ISNUMBER(D21),SUMIFS('Instrument days'!$G$8:$G$207,'Instrument days'!$A$8:$A$207,A21,'Instrument days'!$B$8:$B$207,B21,'Instrument days'!$H$8:$H$207,"YES"),"n.a.")</x:f>
        <x:v>n.a.</x:v>
      </x:c>
      <x:c r="F21" s="1" t="str">
        <x:f>IF(OR(C21="",C21=0),"No source rows",IF(ISNUMBER(D21),"Source rows complete","Missing source inputs"))</x:f>
        <x:v>No source rows</x:v>
      </x:c>
      <x:c r="G21" s="1"/>
    </x:row>
    <x:row r="22" ht="25" customHeight="1">
      <x:c r="A22" s="9" t="str">
        <x:f>IF(ISNUMBER($B$4),$B$4+14,"")</x:f>
      </x:c>
      <x:c r="B22" s="1" t="str">
        <x:f>IF($B$5="","",$B$5)</x:f>
      </x:c>
      <x:c r="C22" s="1" t="str">
        <x:f>IF(OR(A22="",B22=""),"",COUNTIFS('Instrument days'!$A$8:$A$207,A22,'Instrument days'!$B$8:$B$207,B22))</x:f>
      </x:c>
      <x:c r="D22" s="12" t="str">
        <x:f>IF(OR(C22="",C22=0),"n.a.",IF(COUNTIFS('Instrument days'!$A$8:$A$207,A22,'Instrument days'!$B$8:$B$207,B22,'Instrument days'!$O$8:$O$207,"READY")&lt;&gt;C22,"n.a.",SUMIFS('Instrument days'!$G$8:$G$207,'Instrument days'!$A$8:$A$207,A22,'Instrument days'!$B$8:$B$207,B22)))</x:f>
        <x:v>n.a.</x:v>
      </x:c>
      <x:c r="E22" s="12" t="str">
        <x:f>IF(ISNUMBER(D22),SUMIFS('Instrument days'!$G$8:$G$207,'Instrument days'!$A$8:$A$207,A22,'Instrument days'!$B$8:$B$207,B22,'Instrument days'!$H$8:$H$207,"YES"),"n.a.")</x:f>
        <x:v>n.a.</x:v>
      </x:c>
      <x:c r="F22" s="1" t="str">
        <x:f>IF(OR(C22="",C22=0),"No source rows",IF(ISNUMBER(D22),"Source rows complete","Missing source inputs"))</x:f>
        <x:v>No source rows</x:v>
      </x:c>
      <x:c r="G22" s="1"/>
    </x:row>
    <x:row r="23" ht="25" customHeight="1">
      <x:c r="A23" s="9" t="str">
        <x:f>IF(ISNUMBER($B$4),$B$4+15,"")</x:f>
      </x:c>
      <x:c r="B23" s="1" t="str">
        <x:f>IF($B$5="","",$B$5)</x:f>
      </x:c>
      <x:c r="C23" s="1" t="str">
        <x:f>IF(OR(A23="",B23=""),"",COUNTIFS('Instrument days'!$A$8:$A$207,A23,'Instrument days'!$B$8:$B$207,B23))</x:f>
      </x:c>
      <x:c r="D23" s="12" t="str">
        <x:f>IF(OR(C23="",C23=0),"n.a.",IF(COUNTIFS('Instrument days'!$A$8:$A$207,A23,'Instrument days'!$B$8:$B$207,B23,'Instrument days'!$O$8:$O$207,"READY")&lt;&gt;C23,"n.a.",SUMIFS('Instrument days'!$G$8:$G$207,'Instrument days'!$A$8:$A$207,A23,'Instrument days'!$B$8:$B$207,B23)))</x:f>
        <x:v>n.a.</x:v>
      </x:c>
      <x:c r="E23" s="12" t="str">
        <x:f>IF(ISNUMBER(D23),SUMIFS('Instrument days'!$G$8:$G$207,'Instrument days'!$A$8:$A$207,A23,'Instrument days'!$B$8:$B$207,B23,'Instrument days'!$H$8:$H$207,"YES"),"n.a.")</x:f>
        <x:v>n.a.</x:v>
      </x:c>
      <x:c r="F23" s="1" t="str">
        <x:f>IF(OR(C23="",C23=0),"No source rows",IF(ISNUMBER(D23),"Source rows complete","Missing source inputs"))</x:f>
        <x:v>No source rows</x:v>
      </x:c>
      <x:c r="G23" s="1"/>
    </x:row>
    <x:row r="24" ht="25" customHeight="1">
      <x:c r="A24" s="9" t="str">
        <x:f>IF(ISNUMBER($B$4),$B$4+16,"")</x:f>
      </x:c>
      <x:c r="B24" s="1" t="str">
        <x:f>IF($B$5="","",$B$5)</x:f>
      </x:c>
      <x:c r="C24" s="1" t="str">
        <x:f>IF(OR(A24="",B24=""),"",COUNTIFS('Instrument days'!$A$8:$A$207,A24,'Instrument days'!$B$8:$B$207,B24))</x:f>
      </x:c>
      <x:c r="D24" s="12" t="str">
        <x:f>IF(OR(C24="",C24=0),"n.a.",IF(COUNTIFS('Instrument days'!$A$8:$A$207,A24,'Instrument days'!$B$8:$B$207,B24,'Instrument days'!$O$8:$O$207,"READY")&lt;&gt;C24,"n.a.",SUMIFS('Instrument days'!$G$8:$G$207,'Instrument days'!$A$8:$A$207,A24,'Instrument days'!$B$8:$B$207,B24)))</x:f>
        <x:v>n.a.</x:v>
      </x:c>
      <x:c r="E24" s="12" t="str">
        <x:f>IF(ISNUMBER(D24),SUMIFS('Instrument days'!$G$8:$G$207,'Instrument days'!$A$8:$A$207,A24,'Instrument days'!$B$8:$B$207,B24,'Instrument days'!$H$8:$H$207,"YES"),"n.a.")</x:f>
        <x:v>n.a.</x:v>
      </x:c>
      <x:c r="F24" s="1" t="str">
        <x:f>IF(OR(C24="",C24=0),"No source rows",IF(ISNUMBER(D24),"Source rows complete","Missing source inputs"))</x:f>
        <x:v>No source rows</x:v>
      </x:c>
      <x:c r="G24" s="1"/>
    </x:row>
    <x:row r="25" ht="25" customHeight="1">
      <x:c r="A25" s="9" t="str">
        <x:f>IF(ISNUMBER($B$4),$B$4+17,"")</x:f>
      </x:c>
      <x:c r="B25" s="1" t="str">
        <x:f>IF($B$5="","",$B$5)</x:f>
      </x:c>
      <x:c r="C25" s="1" t="str">
        <x:f>IF(OR(A25="",B25=""),"",COUNTIFS('Instrument days'!$A$8:$A$207,A25,'Instrument days'!$B$8:$B$207,B25))</x:f>
      </x:c>
      <x:c r="D25" s="12" t="str">
        <x:f>IF(OR(C25="",C25=0),"n.a.",IF(COUNTIFS('Instrument days'!$A$8:$A$207,A25,'Instrument days'!$B$8:$B$207,B25,'Instrument days'!$O$8:$O$207,"READY")&lt;&gt;C25,"n.a.",SUMIFS('Instrument days'!$G$8:$G$207,'Instrument days'!$A$8:$A$207,A25,'Instrument days'!$B$8:$B$207,B25)))</x:f>
        <x:v>n.a.</x:v>
      </x:c>
      <x:c r="E25" s="12" t="str">
        <x:f>IF(ISNUMBER(D25),SUMIFS('Instrument days'!$G$8:$G$207,'Instrument days'!$A$8:$A$207,A25,'Instrument days'!$B$8:$B$207,B25,'Instrument days'!$H$8:$H$207,"YES"),"n.a.")</x:f>
        <x:v>n.a.</x:v>
      </x:c>
      <x:c r="F25" s="1" t="str">
        <x:f>IF(OR(C25="",C25=0),"No source rows",IF(ISNUMBER(D25),"Source rows complete","Missing source inputs"))</x:f>
        <x:v>No source rows</x:v>
      </x:c>
      <x:c r="G25" s="1"/>
    </x:row>
    <x:row r="26" ht="25" customHeight="1">
      <x:c r="A26" s="9" t="str">
        <x:f>IF(ISNUMBER($B$4),$B$4+18,"")</x:f>
      </x:c>
      <x:c r="B26" s="1" t="str">
        <x:f>IF($B$5="","",$B$5)</x:f>
      </x:c>
      <x:c r="C26" s="1" t="str">
        <x:f>IF(OR(A26="",B26=""),"",COUNTIFS('Instrument days'!$A$8:$A$207,A26,'Instrument days'!$B$8:$B$207,B26))</x:f>
      </x:c>
      <x:c r="D26" s="12" t="str">
        <x:f>IF(OR(C26="",C26=0),"n.a.",IF(COUNTIFS('Instrument days'!$A$8:$A$207,A26,'Instrument days'!$B$8:$B$207,B26,'Instrument days'!$O$8:$O$207,"READY")&lt;&gt;C26,"n.a.",SUMIFS('Instrument days'!$G$8:$G$207,'Instrument days'!$A$8:$A$207,A26,'Instrument days'!$B$8:$B$207,B26)))</x:f>
        <x:v>n.a.</x:v>
      </x:c>
      <x:c r="E26" s="12" t="str">
        <x:f>IF(ISNUMBER(D26),SUMIFS('Instrument days'!$G$8:$G$207,'Instrument days'!$A$8:$A$207,A26,'Instrument days'!$B$8:$B$207,B26,'Instrument days'!$H$8:$H$207,"YES"),"n.a.")</x:f>
        <x:v>n.a.</x:v>
      </x:c>
      <x:c r="F26" s="1" t="str">
        <x:f>IF(OR(C26="",C26=0),"No source rows",IF(ISNUMBER(D26),"Source rows complete","Missing source inputs"))</x:f>
        <x:v>No source rows</x:v>
      </x:c>
      <x:c r="G26" s="1"/>
    </x:row>
    <x:row r="27" ht="25" customHeight="1">
      <x:c r="A27" s="9" t="str">
        <x:f>IF(ISNUMBER($B$4),$B$4+19,"")</x:f>
      </x:c>
      <x:c r="B27" s="1" t="str">
        <x:f>IF($B$5="","",$B$5)</x:f>
      </x:c>
      <x:c r="C27" s="1" t="str">
        <x:f>IF(OR(A27="",B27=""),"",COUNTIFS('Instrument days'!$A$8:$A$207,A27,'Instrument days'!$B$8:$B$207,B27))</x:f>
      </x:c>
      <x:c r="D27" s="12" t="str">
        <x:f>IF(OR(C27="",C27=0),"n.a.",IF(COUNTIFS('Instrument days'!$A$8:$A$207,A27,'Instrument days'!$B$8:$B$207,B27,'Instrument days'!$O$8:$O$207,"READY")&lt;&gt;C27,"n.a.",SUMIFS('Instrument days'!$G$8:$G$207,'Instrument days'!$A$8:$A$207,A27,'Instrument days'!$B$8:$B$207,B27)))</x:f>
        <x:v>n.a.</x:v>
      </x:c>
      <x:c r="E27" s="12" t="str">
        <x:f>IF(ISNUMBER(D27),SUMIFS('Instrument days'!$G$8:$G$207,'Instrument days'!$A$8:$A$207,A27,'Instrument days'!$B$8:$B$207,B27,'Instrument days'!$H$8:$H$207,"YES"),"n.a.")</x:f>
        <x:v>n.a.</x:v>
      </x:c>
      <x:c r="F27" s="1" t="str">
        <x:f>IF(OR(C27="",C27=0),"No source rows",IF(ISNUMBER(D27),"Source rows complete","Missing source inputs"))</x:f>
        <x:v>No source rows</x:v>
      </x:c>
      <x:c r="G27" s="1"/>
    </x:row>
    <x:row r="28" ht="25" customHeight="1">
      <x:c r="A28" s="9" t="str">
        <x:f>IF(ISNUMBER($B$4),$B$4+20,"")</x:f>
      </x:c>
      <x:c r="B28" s="1" t="str">
        <x:f>IF($B$5="","",$B$5)</x:f>
      </x:c>
      <x:c r="C28" s="1" t="str">
        <x:f>IF(OR(A28="",B28=""),"",COUNTIFS('Instrument days'!$A$8:$A$207,A28,'Instrument days'!$B$8:$B$207,B28))</x:f>
      </x:c>
      <x:c r="D28" s="12" t="str">
        <x:f>IF(OR(C28="",C28=0),"n.a.",IF(COUNTIFS('Instrument days'!$A$8:$A$207,A28,'Instrument days'!$B$8:$B$207,B28,'Instrument days'!$O$8:$O$207,"READY")&lt;&gt;C28,"n.a.",SUMIFS('Instrument days'!$G$8:$G$207,'Instrument days'!$A$8:$A$207,A28,'Instrument days'!$B$8:$B$207,B28)))</x:f>
        <x:v>n.a.</x:v>
      </x:c>
      <x:c r="E28" s="12" t="str">
        <x:f>IF(ISNUMBER(D28),SUMIFS('Instrument days'!$G$8:$G$207,'Instrument days'!$A$8:$A$207,A28,'Instrument days'!$B$8:$B$207,B28,'Instrument days'!$H$8:$H$207,"YES"),"n.a.")</x:f>
        <x:v>n.a.</x:v>
      </x:c>
      <x:c r="F28" s="1" t="str">
        <x:f>IF(OR(C28="",C28=0),"No source rows",IF(ISNUMBER(D28),"Source rows complete","Missing source inputs"))</x:f>
        <x:v>No source rows</x:v>
      </x:c>
      <x:c r="G28" s="1"/>
    </x:row>
    <x:row r="29" ht="25" customHeight="1">
      <x:c r="A29" s="9" t="str">
        <x:f>IF(ISNUMBER($B$4),$B$4+21,"")</x:f>
      </x:c>
      <x:c r="B29" s="1" t="str">
        <x:f>IF($B$5="","",$B$5)</x:f>
      </x:c>
      <x:c r="C29" s="1" t="str">
        <x:f>IF(OR(A29="",B29=""),"",COUNTIFS('Instrument days'!$A$8:$A$207,A29,'Instrument days'!$B$8:$B$207,B29))</x:f>
      </x:c>
      <x:c r="D29" s="12" t="str">
        <x:f>IF(OR(C29="",C29=0),"n.a.",IF(COUNTIFS('Instrument days'!$A$8:$A$207,A29,'Instrument days'!$B$8:$B$207,B29,'Instrument days'!$O$8:$O$207,"READY")&lt;&gt;C29,"n.a.",SUMIFS('Instrument days'!$G$8:$G$207,'Instrument days'!$A$8:$A$207,A29,'Instrument days'!$B$8:$B$207,B29)))</x:f>
        <x:v>n.a.</x:v>
      </x:c>
      <x:c r="E29" s="12" t="str">
        <x:f>IF(ISNUMBER(D29),SUMIFS('Instrument days'!$G$8:$G$207,'Instrument days'!$A$8:$A$207,A29,'Instrument days'!$B$8:$B$207,B29,'Instrument days'!$H$8:$H$207,"YES"),"n.a.")</x:f>
        <x:v>n.a.</x:v>
      </x:c>
      <x:c r="F29" s="1" t="str">
        <x:f>IF(OR(C29="",C29=0),"No source rows",IF(ISNUMBER(D29),"Source rows complete","Missing source inputs"))</x:f>
        <x:v>No source rows</x:v>
      </x:c>
      <x:c r="G29" s="1"/>
    </x:row>
    <x:row r="30" ht="25" customHeight="1">
      <x:c r="A30" s="9" t="str">
        <x:f>IF(ISNUMBER($B$4),$B$4+22,"")</x:f>
      </x:c>
      <x:c r="B30" s="1" t="str">
        <x:f>IF($B$5="","",$B$5)</x:f>
      </x:c>
      <x:c r="C30" s="1" t="str">
        <x:f>IF(OR(A30="",B30=""),"",COUNTIFS('Instrument days'!$A$8:$A$207,A30,'Instrument days'!$B$8:$B$207,B30))</x:f>
      </x:c>
      <x:c r="D30" s="12" t="str">
        <x:f>IF(OR(C30="",C30=0),"n.a.",IF(COUNTIFS('Instrument days'!$A$8:$A$207,A30,'Instrument days'!$B$8:$B$207,B30,'Instrument days'!$O$8:$O$207,"READY")&lt;&gt;C30,"n.a.",SUMIFS('Instrument days'!$G$8:$G$207,'Instrument days'!$A$8:$A$207,A30,'Instrument days'!$B$8:$B$207,B30)))</x:f>
        <x:v>n.a.</x:v>
      </x:c>
      <x:c r="E30" s="12" t="str">
        <x:f>IF(ISNUMBER(D30),SUMIFS('Instrument days'!$G$8:$G$207,'Instrument days'!$A$8:$A$207,A30,'Instrument days'!$B$8:$B$207,B30,'Instrument days'!$H$8:$H$207,"YES"),"n.a.")</x:f>
        <x:v>n.a.</x:v>
      </x:c>
      <x:c r="F30" s="1" t="str">
        <x:f>IF(OR(C30="",C30=0),"No source rows",IF(ISNUMBER(D30),"Source rows complete","Missing source inputs"))</x:f>
        <x:v>No source rows</x:v>
      </x:c>
      <x:c r="G30" s="1"/>
    </x:row>
    <x:row r="31" ht="25" customHeight="1">
      <x:c r="A31" s="9" t="str">
        <x:f>IF(ISNUMBER($B$4),$B$4+23,"")</x:f>
      </x:c>
      <x:c r="B31" s="1" t="str">
        <x:f>IF($B$5="","",$B$5)</x:f>
      </x:c>
      <x:c r="C31" s="1" t="str">
        <x:f>IF(OR(A31="",B31=""),"",COUNTIFS('Instrument days'!$A$8:$A$207,A31,'Instrument days'!$B$8:$B$207,B31))</x:f>
      </x:c>
      <x:c r="D31" s="12" t="str">
        <x:f>IF(OR(C31="",C31=0),"n.a.",IF(COUNTIFS('Instrument days'!$A$8:$A$207,A31,'Instrument days'!$B$8:$B$207,B31,'Instrument days'!$O$8:$O$207,"READY")&lt;&gt;C31,"n.a.",SUMIFS('Instrument days'!$G$8:$G$207,'Instrument days'!$A$8:$A$207,A31,'Instrument days'!$B$8:$B$207,B31)))</x:f>
        <x:v>n.a.</x:v>
      </x:c>
      <x:c r="E31" s="12" t="str">
        <x:f>IF(ISNUMBER(D31),SUMIFS('Instrument days'!$G$8:$G$207,'Instrument days'!$A$8:$A$207,A31,'Instrument days'!$B$8:$B$207,B31,'Instrument days'!$H$8:$H$207,"YES"),"n.a.")</x:f>
        <x:v>n.a.</x:v>
      </x:c>
      <x:c r="F31" s="1" t="str">
        <x:f>IF(OR(C31="",C31=0),"No source rows",IF(ISNUMBER(D31),"Source rows complete","Missing source inputs"))</x:f>
        <x:v>No source rows</x:v>
      </x:c>
      <x:c r="G31" s="1"/>
    </x:row>
    <x:row r="32" ht="25" customHeight="1">
      <x:c r="A32" s="9" t="str">
        <x:f>IF(ISNUMBER($B$4),$B$4+24,"")</x:f>
      </x:c>
      <x:c r="B32" s="1" t="str">
        <x:f>IF($B$5="","",$B$5)</x:f>
      </x:c>
      <x:c r="C32" s="1" t="str">
        <x:f>IF(OR(A32="",B32=""),"",COUNTIFS('Instrument days'!$A$8:$A$207,A32,'Instrument days'!$B$8:$B$207,B32))</x:f>
      </x:c>
      <x:c r="D32" s="12" t="str">
        <x:f>IF(OR(C32="",C32=0),"n.a.",IF(COUNTIFS('Instrument days'!$A$8:$A$207,A32,'Instrument days'!$B$8:$B$207,B32,'Instrument days'!$O$8:$O$207,"READY")&lt;&gt;C32,"n.a.",SUMIFS('Instrument days'!$G$8:$G$207,'Instrument days'!$A$8:$A$207,A32,'Instrument days'!$B$8:$B$207,B32)))</x:f>
        <x:v>n.a.</x:v>
      </x:c>
      <x:c r="E32" s="12" t="str">
        <x:f>IF(ISNUMBER(D32),SUMIFS('Instrument days'!$G$8:$G$207,'Instrument days'!$A$8:$A$207,A32,'Instrument days'!$B$8:$B$207,B32,'Instrument days'!$H$8:$H$207,"YES"),"n.a.")</x:f>
        <x:v>n.a.</x:v>
      </x:c>
      <x:c r="F32" s="1" t="str">
        <x:f>IF(OR(C32="",C32=0),"No source rows",IF(ISNUMBER(D32),"Source rows complete","Missing source inputs"))</x:f>
        <x:v>No source rows</x:v>
      </x:c>
      <x:c r="G32" s="1"/>
    </x:row>
    <x:row r="33" ht="25" customHeight="1">
      <x:c r="A33" s="9" t="str">
        <x:f>IF(ISNUMBER($B$4),$B$4+25,"")</x:f>
      </x:c>
      <x:c r="B33" s="1" t="str">
        <x:f>IF($B$5="","",$B$5)</x:f>
      </x:c>
      <x:c r="C33" s="1" t="str">
        <x:f>IF(OR(A33="",B33=""),"",COUNTIFS('Instrument days'!$A$8:$A$207,A33,'Instrument days'!$B$8:$B$207,B33))</x:f>
      </x:c>
      <x:c r="D33" s="12" t="str">
        <x:f>IF(OR(C33="",C33=0),"n.a.",IF(COUNTIFS('Instrument days'!$A$8:$A$207,A33,'Instrument days'!$B$8:$B$207,B33,'Instrument days'!$O$8:$O$207,"READY")&lt;&gt;C33,"n.a.",SUMIFS('Instrument days'!$G$8:$G$207,'Instrument days'!$A$8:$A$207,A33,'Instrument days'!$B$8:$B$207,B33)))</x:f>
        <x:v>n.a.</x:v>
      </x:c>
      <x:c r="E33" s="12" t="str">
        <x:f>IF(ISNUMBER(D33),SUMIFS('Instrument days'!$G$8:$G$207,'Instrument days'!$A$8:$A$207,A33,'Instrument days'!$B$8:$B$207,B33,'Instrument days'!$H$8:$H$207,"YES"),"n.a.")</x:f>
        <x:v>n.a.</x:v>
      </x:c>
      <x:c r="F33" s="1" t="str">
        <x:f>IF(OR(C33="",C33=0),"No source rows",IF(ISNUMBER(D33),"Source rows complete","Missing source inputs"))</x:f>
        <x:v>No source rows</x:v>
      </x:c>
      <x:c r="G33" s="1"/>
    </x:row>
    <x:row r="34" ht="25" customHeight="1">
      <x:c r="A34" s="9" t="str">
        <x:f>IF(ISNUMBER($B$4),$B$4+26,"")</x:f>
      </x:c>
      <x:c r="B34" s="1" t="str">
        <x:f>IF($B$5="","",$B$5)</x:f>
      </x:c>
      <x:c r="C34" s="1" t="str">
        <x:f>IF(OR(A34="",B34=""),"",COUNTIFS('Instrument days'!$A$8:$A$207,A34,'Instrument days'!$B$8:$B$207,B34))</x:f>
      </x:c>
      <x:c r="D34" s="12" t="str">
        <x:f>IF(OR(C34="",C34=0),"n.a.",IF(COUNTIFS('Instrument days'!$A$8:$A$207,A34,'Instrument days'!$B$8:$B$207,B34,'Instrument days'!$O$8:$O$207,"READY")&lt;&gt;C34,"n.a.",SUMIFS('Instrument days'!$G$8:$G$207,'Instrument days'!$A$8:$A$207,A34,'Instrument days'!$B$8:$B$207,B34)))</x:f>
        <x:v>n.a.</x:v>
      </x:c>
      <x:c r="E34" s="12" t="str">
        <x:f>IF(ISNUMBER(D34),SUMIFS('Instrument days'!$G$8:$G$207,'Instrument days'!$A$8:$A$207,A34,'Instrument days'!$B$8:$B$207,B34,'Instrument days'!$H$8:$H$207,"YES"),"n.a.")</x:f>
        <x:v>n.a.</x:v>
      </x:c>
      <x:c r="F34" s="1" t="str">
        <x:f>IF(OR(C34="",C34=0),"No source rows",IF(ISNUMBER(D34),"Source rows complete","Missing source inputs"))</x:f>
        <x:v>No source rows</x:v>
      </x:c>
      <x:c r="G34" s="1"/>
    </x:row>
    <x:row r="35" ht="25" customHeight="1">
      <x:c r="A35" s="9" t="str">
        <x:f>IF(ISNUMBER($B$4),$B$4+27,"")</x:f>
      </x:c>
      <x:c r="B35" s="1" t="str">
        <x:f>IF($B$5="","",$B$5)</x:f>
      </x:c>
      <x:c r="C35" s="1" t="str">
        <x:f>IF(OR(A35="",B35=""),"",COUNTIFS('Instrument days'!$A$8:$A$207,A35,'Instrument days'!$B$8:$B$207,B35))</x:f>
      </x:c>
      <x:c r="D35" s="12" t="str">
        <x:f>IF(OR(C35="",C35=0),"n.a.",IF(COUNTIFS('Instrument days'!$A$8:$A$207,A35,'Instrument days'!$B$8:$B$207,B35,'Instrument days'!$O$8:$O$207,"READY")&lt;&gt;C35,"n.a.",SUMIFS('Instrument days'!$G$8:$G$207,'Instrument days'!$A$8:$A$207,A35,'Instrument days'!$B$8:$B$207,B35)))</x:f>
        <x:v>n.a.</x:v>
      </x:c>
      <x:c r="E35" s="12" t="str">
        <x:f>IF(ISNUMBER(D35),SUMIFS('Instrument days'!$G$8:$G$207,'Instrument days'!$A$8:$A$207,A35,'Instrument days'!$B$8:$B$207,B35,'Instrument days'!$H$8:$H$207,"YES"),"n.a.")</x:f>
        <x:v>n.a.</x:v>
      </x:c>
      <x:c r="F35" s="1" t="str">
        <x:f>IF(OR(C35="",C35=0),"No source rows",IF(ISNUMBER(D35),"Source rows complete","Missing source inputs"))</x:f>
        <x:v>No source rows</x:v>
      </x:c>
      <x:c r="G35" s="1"/>
    </x:row>
    <x:row r="36" ht="25" customHeight="1">
      <x:c r="A36" s="9" t="str">
        <x:f>IF(ISNUMBER($B$4),$B$4+28,"")</x:f>
      </x:c>
      <x:c r="B36" s="1" t="str">
        <x:f>IF($B$5="","",$B$5)</x:f>
      </x:c>
      <x:c r="C36" s="1" t="str">
        <x:f>IF(OR(A36="",B36=""),"",COUNTIFS('Instrument days'!$A$8:$A$207,A36,'Instrument days'!$B$8:$B$207,B36))</x:f>
      </x:c>
      <x:c r="D36" s="12" t="str">
        <x:f>IF(OR(C36="",C36=0),"n.a.",IF(COUNTIFS('Instrument days'!$A$8:$A$207,A36,'Instrument days'!$B$8:$B$207,B36,'Instrument days'!$O$8:$O$207,"READY")&lt;&gt;C36,"n.a.",SUMIFS('Instrument days'!$G$8:$G$207,'Instrument days'!$A$8:$A$207,A36,'Instrument days'!$B$8:$B$207,B36)))</x:f>
        <x:v>n.a.</x:v>
      </x:c>
      <x:c r="E36" s="12" t="str">
        <x:f>IF(ISNUMBER(D36),SUMIFS('Instrument days'!$G$8:$G$207,'Instrument days'!$A$8:$A$207,A36,'Instrument days'!$B$8:$B$207,B36,'Instrument days'!$H$8:$H$207,"YES"),"n.a.")</x:f>
        <x:v>n.a.</x:v>
      </x:c>
      <x:c r="F36" s="1" t="str">
        <x:f>IF(OR(C36="",C36=0),"No source rows",IF(ISNUMBER(D36),"Source rows complete","Missing source inputs"))</x:f>
        <x:v>No source rows</x:v>
      </x:c>
      <x:c r="G36" s="1"/>
    </x:row>
    <x:row r="37" ht="25" customHeight="1">
      <x:c r="A37" s="9" t="str">
        <x:f>IF(ISNUMBER($B$4),$B$4+29,"")</x:f>
      </x:c>
      <x:c r="B37" s="1" t="str">
        <x:f>IF($B$5="","",$B$5)</x:f>
      </x:c>
      <x:c r="C37" s="1" t="str">
        <x:f>IF(OR(A37="",B37=""),"",COUNTIFS('Instrument days'!$A$8:$A$207,A37,'Instrument days'!$B$8:$B$207,B37))</x:f>
      </x:c>
      <x:c r="D37" s="12" t="str">
        <x:f>IF(OR(C37="",C37=0),"n.a.",IF(COUNTIFS('Instrument days'!$A$8:$A$207,A37,'Instrument days'!$B$8:$B$207,B37,'Instrument days'!$O$8:$O$207,"READY")&lt;&gt;C37,"n.a.",SUMIFS('Instrument days'!$G$8:$G$207,'Instrument days'!$A$8:$A$207,A37,'Instrument days'!$B$8:$B$207,B37)))</x:f>
        <x:v>n.a.</x:v>
      </x:c>
      <x:c r="E37" s="12" t="str">
        <x:f>IF(ISNUMBER(D37),SUMIFS('Instrument days'!$G$8:$G$207,'Instrument days'!$A$8:$A$207,A37,'Instrument days'!$B$8:$B$207,B37,'Instrument days'!$H$8:$H$207,"YES"),"n.a.")</x:f>
        <x:v>n.a.</x:v>
      </x:c>
      <x:c r="F37" s="1" t="str">
        <x:f>IF(OR(C37="",C37=0),"No source rows",IF(ISNUMBER(D37),"Source rows complete","Missing source inputs"))</x:f>
        <x:v>No source rows</x:v>
      </x:c>
      <x:c r="G37" s="1"/>
    </x:row>
    <x:row r="38" ht="25" customHeight="1">
      <x:c r="A38" s="9" t="str">
        <x:f>IF(ISNUMBER($B$4),$B$4+30,"")</x:f>
      </x:c>
      <x:c r="B38" s="1" t="str">
        <x:f>IF($B$5="","",$B$5)</x:f>
      </x:c>
      <x:c r="C38" s="1" t="str">
        <x:f>IF(OR(A38="",B38=""),"",COUNTIFS('Instrument days'!$A$8:$A$207,A38,'Instrument days'!$B$8:$B$207,B38))</x:f>
      </x:c>
      <x:c r="D38" s="12" t="str">
        <x:f>IF(OR(C38="",C38=0),"n.a.",IF(COUNTIFS('Instrument days'!$A$8:$A$207,A38,'Instrument days'!$B$8:$B$207,B38,'Instrument days'!$O$8:$O$207,"READY")&lt;&gt;C38,"n.a.",SUMIFS('Instrument days'!$G$8:$G$207,'Instrument days'!$A$8:$A$207,A38,'Instrument days'!$B$8:$B$207,B38)))</x:f>
        <x:v>n.a.</x:v>
      </x:c>
      <x:c r="E38" s="12" t="str">
        <x:f>IF(ISNUMBER(D38),SUMIFS('Instrument days'!$G$8:$G$207,'Instrument days'!$A$8:$A$207,A38,'Instrument days'!$B$8:$B$207,B38,'Instrument days'!$H$8:$H$207,"YES"),"n.a.")</x:f>
        <x:v>n.a.</x:v>
      </x:c>
      <x:c r="F38" s="1" t="str">
        <x:f>IF(OR(C38="",C38=0),"No source rows",IF(ISNUMBER(D38),"Source rows complete","Missing source inputs"))</x:f>
        <x:v>No source rows</x:v>
      </x:c>
      <x:c r="G38" s="1"/>
    </x:row>
    <x:row r="39" ht="25" customHeight="1">
      <x:c r="A39" s="9" t="str">
        <x:f>IF(ISNUMBER($B$4),$B$4+31,"")</x:f>
      </x:c>
      <x:c r="B39" s="1" t="str">
        <x:f>IF($B$5="","",$B$5)</x:f>
      </x:c>
      <x:c r="C39" s="1" t="str">
        <x:f>IF(OR(A39="",B39=""),"",COUNTIFS('Instrument days'!$A$8:$A$207,A39,'Instrument days'!$B$8:$B$207,B39))</x:f>
      </x:c>
      <x:c r="D39" s="12" t="str">
        <x:f>IF(OR(C39="",C39=0),"n.a.",IF(COUNTIFS('Instrument days'!$A$8:$A$207,A39,'Instrument days'!$B$8:$B$207,B39,'Instrument days'!$O$8:$O$207,"READY")&lt;&gt;C39,"n.a.",SUMIFS('Instrument days'!$G$8:$G$207,'Instrument days'!$A$8:$A$207,A39,'Instrument days'!$B$8:$B$207,B39)))</x:f>
        <x:v>n.a.</x:v>
      </x:c>
      <x:c r="E39" s="12" t="str">
        <x:f>IF(ISNUMBER(D39),SUMIFS('Instrument days'!$G$8:$G$207,'Instrument days'!$A$8:$A$207,A39,'Instrument days'!$B$8:$B$207,B39,'Instrument days'!$H$8:$H$207,"YES"),"n.a.")</x:f>
        <x:v>n.a.</x:v>
      </x:c>
      <x:c r="F39" s="1" t="str">
        <x:f>IF(OR(C39="",C39=0),"No source rows",IF(ISNUMBER(D39),"Source rows complete","Missing source inputs"))</x:f>
        <x:v>No source rows</x:v>
      </x:c>
      <x:c r="G39" s="1"/>
    </x:row>
    <x:row r="40" ht="25" customHeight="1">
      <x:c r="A40" s="9" t="str">
        <x:f>IF(ISNUMBER($B$4),$B$4+32,"")</x:f>
      </x:c>
      <x:c r="B40" s="1" t="str">
        <x:f>IF($B$5="","",$B$5)</x:f>
      </x:c>
      <x:c r="C40" s="1" t="str">
        <x:f>IF(OR(A40="",B40=""),"",COUNTIFS('Instrument days'!$A$8:$A$207,A40,'Instrument days'!$B$8:$B$207,B40))</x:f>
      </x:c>
      <x:c r="D40" s="12" t="str">
        <x:f>IF(OR(C40="",C40=0),"n.a.",IF(COUNTIFS('Instrument days'!$A$8:$A$207,A40,'Instrument days'!$B$8:$B$207,B40,'Instrument days'!$O$8:$O$207,"READY")&lt;&gt;C40,"n.a.",SUMIFS('Instrument days'!$G$8:$G$207,'Instrument days'!$A$8:$A$207,A40,'Instrument days'!$B$8:$B$207,B40)))</x:f>
        <x:v>n.a.</x:v>
      </x:c>
      <x:c r="E40" s="12" t="str">
        <x:f>IF(ISNUMBER(D40),SUMIFS('Instrument days'!$G$8:$G$207,'Instrument days'!$A$8:$A$207,A40,'Instrument days'!$B$8:$B$207,B40,'Instrument days'!$H$8:$H$207,"YES"),"n.a.")</x:f>
        <x:v>n.a.</x:v>
      </x:c>
      <x:c r="F40" s="1" t="str">
        <x:f>IF(OR(C40="",C40=0),"No source rows",IF(ISNUMBER(D40),"Source rows complete","Missing source inputs"))</x:f>
        <x:v>No source rows</x:v>
      </x:c>
      <x:c r="G40" s="1"/>
    </x:row>
    <x:row r="41" ht="25" customHeight="1">
      <x:c r="A41" s="9" t="str">
        <x:f>IF(ISNUMBER($B$4),$B$4+33,"")</x:f>
      </x:c>
      <x:c r="B41" s="1" t="str">
        <x:f>IF($B$5="","",$B$5)</x:f>
      </x:c>
      <x:c r="C41" s="1" t="str">
        <x:f>IF(OR(A41="",B41=""),"",COUNTIFS('Instrument days'!$A$8:$A$207,A41,'Instrument days'!$B$8:$B$207,B41))</x:f>
      </x:c>
      <x:c r="D41" s="12" t="str">
        <x:f>IF(OR(C41="",C41=0),"n.a.",IF(COUNTIFS('Instrument days'!$A$8:$A$207,A41,'Instrument days'!$B$8:$B$207,B41,'Instrument days'!$O$8:$O$207,"READY")&lt;&gt;C41,"n.a.",SUMIFS('Instrument days'!$G$8:$G$207,'Instrument days'!$A$8:$A$207,A41,'Instrument days'!$B$8:$B$207,B41)))</x:f>
        <x:v>n.a.</x:v>
      </x:c>
      <x:c r="E41" s="12" t="str">
        <x:f>IF(ISNUMBER(D41),SUMIFS('Instrument days'!$G$8:$G$207,'Instrument days'!$A$8:$A$207,A41,'Instrument days'!$B$8:$B$207,B41,'Instrument days'!$H$8:$H$207,"YES"),"n.a.")</x:f>
        <x:v>n.a.</x:v>
      </x:c>
      <x:c r="F41" s="1" t="str">
        <x:f>IF(OR(C41="",C41=0),"No source rows",IF(ISNUMBER(D41),"Source rows complete","Missing source inputs"))</x:f>
        <x:v>No source rows</x:v>
      </x:c>
      <x:c r="G41" s="1"/>
    </x:row>
    <x:row r="42" ht="25" customHeight="1">
      <x:c r="A42" s="9" t="str">
        <x:f>IF(ISNUMBER($B$4),$B$4+34,"")</x:f>
      </x:c>
      <x:c r="B42" s="1" t="str">
        <x:f>IF($B$5="","",$B$5)</x:f>
      </x:c>
      <x:c r="C42" s="1" t="str">
        <x:f>IF(OR(A42="",B42=""),"",COUNTIFS('Instrument days'!$A$8:$A$207,A42,'Instrument days'!$B$8:$B$207,B42))</x:f>
      </x:c>
      <x:c r="D42" s="12" t="str">
        <x:f>IF(OR(C42="",C42=0),"n.a.",IF(COUNTIFS('Instrument days'!$A$8:$A$207,A42,'Instrument days'!$B$8:$B$207,B42,'Instrument days'!$O$8:$O$207,"READY")&lt;&gt;C42,"n.a.",SUMIFS('Instrument days'!$G$8:$G$207,'Instrument days'!$A$8:$A$207,A42,'Instrument days'!$B$8:$B$207,B42)))</x:f>
        <x:v>n.a.</x:v>
      </x:c>
      <x:c r="E42" s="12" t="str">
        <x:f>IF(ISNUMBER(D42),SUMIFS('Instrument days'!$G$8:$G$207,'Instrument days'!$A$8:$A$207,A42,'Instrument days'!$B$8:$B$207,B42,'Instrument days'!$H$8:$H$207,"YES"),"n.a.")</x:f>
        <x:v>n.a.</x:v>
      </x:c>
      <x:c r="F42" s="1" t="str">
        <x:f>IF(OR(C42="",C42=0),"No source rows",IF(ISNUMBER(D42),"Source rows complete","Missing source inputs"))</x:f>
        <x:v>No source rows</x:v>
      </x:c>
      <x:c r="G42" s="1"/>
    </x:row>
    <x:row r="43" ht="25" customHeight="1">
      <x:c r="A43" s="9" t="str">
        <x:f>IF(ISNUMBER($B$4),$B$4+35,"")</x:f>
      </x:c>
      <x:c r="B43" s="1" t="str">
        <x:f>IF($B$5="","",$B$5)</x:f>
      </x:c>
      <x:c r="C43" s="1" t="str">
        <x:f>IF(OR(A43="",B43=""),"",COUNTIFS('Instrument days'!$A$8:$A$207,A43,'Instrument days'!$B$8:$B$207,B43))</x:f>
      </x:c>
      <x:c r="D43" s="12" t="str">
        <x:f>IF(OR(C43="",C43=0),"n.a.",IF(COUNTIFS('Instrument days'!$A$8:$A$207,A43,'Instrument days'!$B$8:$B$207,B43,'Instrument days'!$O$8:$O$207,"READY")&lt;&gt;C43,"n.a.",SUMIFS('Instrument days'!$G$8:$G$207,'Instrument days'!$A$8:$A$207,A43,'Instrument days'!$B$8:$B$207,B43)))</x:f>
        <x:v>n.a.</x:v>
      </x:c>
      <x:c r="E43" s="12" t="str">
        <x:f>IF(ISNUMBER(D43),SUMIFS('Instrument days'!$G$8:$G$207,'Instrument days'!$A$8:$A$207,A43,'Instrument days'!$B$8:$B$207,B43,'Instrument days'!$H$8:$H$207,"YES"),"n.a.")</x:f>
        <x:v>n.a.</x:v>
      </x:c>
      <x:c r="F43" s="1" t="str">
        <x:f>IF(OR(C43="",C43=0),"No source rows",IF(ISNUMBER(D43),"Source rows complete","Missing source inputs"))</x:f>
        <x:v>No source rows</x:v>
      </x:c>
      <x:c r="G43" s="1"/>
    </x:row>
    <x:row r="44" ht="25" customHeight="1">
      <x:c r="A44" s="9" t="str">
        <x:f>IF(ISNUMBER($B$4),$B$4+36,"")</x:f>
      </x:c>
      <x:c r="B44" s="1" t="str">
        <x:f>IF($B$5="","",$B$5)</x:f>
      </x:c>
      <x:c r="C44" s="1" t="str">
        <x:f>IF(OR(A44="",B44=""),"",COUNTIFS('Instrument days'!$A$8:$A$207,A44,'Instrument days'!$B$8:$B$207,B44))</x:f>
      </x:c>
      <x:c r="D44" s="12" t="str">
        <x:f>IF(OR(C44="",C44=0),"n.a.",IF(COUNTIFS('Instrument days'!$A$8:$A$207,A44,'Instrument days'!$B$8:$B$207,B44,'Instrument days'!$O$8:$O$207,"READY")&lt;&gt;C44,"n.a.",SUMIFS('Instrument days'!$G$8:$G$207,'Instrument days'!$A$8:$A$207,A44,'Instrument days'!$B$8:$B$207,B44)))</x:f>
        <x:v>n.a.</x:v>
      </x:c>
      <x:c r="E44" s="12" t="str">
        <x:f>IF(ISNUMBER(D44),SUMIFS('Instrument days'!$G$8:$G$207,'Instrument days'!$A$8:$A$207,A44,'Instrument days'!$B$8:$B$207,B44,'Instrument days'!$H$8:$H$207,"YES"),"n.a.")</x:f>
        <x:v>n.a.</x:v>
      </x:c>
      <x:c r="F44" s="1" t="str">
        <x:f>IF(OR(C44="",C44=0),"No source rows",IF(ISNUMBER(D44),"Source rows complete","Missing source inputs"))</x:f>
        <x:v>No source rows</x:v>
      </x:c>
      <x:c r="G44" s="1"/>
    </x:row>
    <x:row r="45" ht="25" customHeight="1">
      <x:c r="A45" s="9" t="str">
        <x:f>IF(ISNUMBER($B$4),$B$4+37,"")</x:f>
      </x:c>
      <x:c r="B45" s="1" t="str">
        <x:f>IF($B$5="","",$B$5)</x:f>
      </x:c>
      <x:c r="C45" s="1" t="str">
        <x:f>IF(OR(A45="",B45=""),"",COUNTIFS('Instrument days'!$A$8:$A$207,A45,'Instrument days'!$B$8:$B$207,B45))</x:f>
      </x:c>
      <x:c r="D45" s="12" t="str">
        <x:f>IF(OR(C45="",C45=0),"n.a.",IF(COUNTIFS('Instrument days'!$A$8:$A$207,A45,'Instrument days'!$B$8:$B$207,B45,'Instrument days'!$O$8:$O$207,"READY")&lt;&gt;C45,"n.a.",SUMIFS('Instrument days'!$G$8:$G$207,'Instrument days'!$A$8:$A$207,A45,'Instrument days'!$B$8:$B$207,B45)))</x:f>
        <x:v>n.a.</x:v>
      </x:c>
      <x:c r="E45" s="12" t="str">
        <x:f>IF(ISNUMBER(D45),SUMIFS('Instrument days'!$G$8:$G$207,'Instrument days'!$A$8:$A$207,A45,'Instrument days'!$B$8:$B$207,B45,'Instrument days'!$H$8:$H$207,"YES"),"n.a.")</x:f>
        <x:v>n.a.</x:v>
      </x:c>
      <x:c r="F45" s="1" t="str">
        <x:f>IF(OR(C45="",C45=0),"No source rows",IF(ISNUMBER(D45),"Source rows complete","Missing source inputs"))</x:f>
        <x:v>No source rows</x:v>
      </x:c>
      <x:c r="G45" s="1"/>
    </x:row>
    <x:row r="46" ht="25" customHeight="1">
      <x:c r="A46" s="9" t="str">
        <x:f>IF(ISNUMBER($B$4),$B$4+38,"")</x:f>
      </x:c>
      <x:c r="B46" s="1" t="str">
        <x:f>IF($B$5="","",$B$5)</x:f>
      </x:c>
      <x:c r="C46" s="1" t="str">
        <x:f>IF(OR(A46="",B46=""),"",COUNTIFS('Instrument days'!$A$8:$A$207,A46,'Instrument days'!$B$8:$B$207,B46))</x:f>
      </x:c>
      <x:c r="D46" s="12" t="str">
        <x:f>IF(OR(C46="",C46=0),"n.a.",IF(COUNTIFS('Instrument days'!$A$8:$A$207,A46,'Instrument days'!$B$8:$B$207,B46,'Instrument days'!$O$8:$O$207,"READY")&lt;&gt;C46,"n.a.",SUMIFS('Instrument days'!$G$8:$G$207,'Instrument days'!$A$8:$A$207,A46,'Instrument days'!$B$8:$B$207,B46)))</x:f>
        <x:v>n.a.</x:v>
      </x:c>
      <x:c r="E46" s="12" t="str">
        <x:f>IF(ISNUMBER(D46),SUMIFS('Instrument days'!$G$8:$G$207,'Instrument days'!$A$8:$A$207,A46,'Instrument days'!$B$8:$B$207,B46,'Instrument days'!$H$8:$H$207,"YES"),"n.a.")</x:f>
        <x:v>n.a.</x:v>
      </x:c>
      <x:c r="F46" s="1" t="str">
        <x:f>IF(OR(C46="",C46=0),"No source rows",IF(ISNUMBER(D46),"Source rows complete","Missing source inputs"))</x:f>
        <x:v>No source rows</x:v>
      </x:c>
      <x:c r="G46" s="1"/>
    </x:row>
    <x:row r="47" ht="25" customHeight="1">
      <x:c r="A47" s="9" t="str">
        <x:f>IF(ISNUMBER($B$4),$B$4+39,"")</x:f>
      </x:c>
      <x:c r="B47" s="1" t="str">
        <x:f>IF($B$5="","",$B$5)</x:f>
      </x:c>
      <x:c r="C47" s="1" t="str">
        <x:f>IF(OR(A47="",B47=""),"",COUNTIFS('Instrument days'!$A$8:$A$207,A47,'Instrument days'!$B$8:$B$207,B47))</x:f>
      </x:c>
      <x:c r="D47" s="12" t="str">
        <x:f>IF(OR(C47="",C47=0),"n.a.",IF(COUNTIFS('Instrument days'!$A$8:$A$207,A47,'Instrument days'!$B$8:$B$207,B47,'Instrument days'!$O$8:$O$207,"READY")&lt;&gt;C47,"n.a.",SUMIFS('Instrument days'!$G$8:$G$207,'Instrument days'!$A$8:$A$207,A47,'Instrument days'!$B$8:$B$207,B47)))</x:f>
        <x:v>n.a.</x:v>
      </x:c>
      <x:c r="E47" s="12" t="str">
        <x:f>IF(ISNUMBER(D47),SUMIFS('Instrument days'!$G$8:$G$207,'Instrument days'!$A$8:$A$207,A47,'Instrument days'!$B$8:$B$207,B47,'Instrument days'!$H$8:$H$207,"YES"),"n.a.")</x:f>
        <x:v>n.a.</x:v>
      </x:c>
      <x:c r="F47" s="1" t="str">
        <x:f>IF(OR(C47="",C47=0),"No source rows",IF(ISNUMBER(D47),"Source rows complete","Missing source inputs"))</x:f>
        <x:v>No source rows</x:v>
      </x:c>
      <x:c r="G47" s="1"/>
    </x:row>
    <x:row r="48" ht="25" customHeight="1">
      <x:c r="A48" s="9" t="str">
        <x:f>IF(ISNUMBER($B$4),$B$4+40,"")</x:f>
      </x:c>
      <x:c r="B48" s="1" t="str">
        <x:f>IF($B$5="","",$B$5)</x:f>
      </x:c>
      <x:c r="C48" s="1" t="str">
        <x:f>IF(OR(A48="",B48=""),"",COUNTIFS('Instrument days'!$A$8:$A$207,A48,'Instrument days'!$B$8:$B$207,B48))</x:f>
      </x:c>
      <x:c r="D48" s="12" t="str">
        <x:f>IF(OR(C48="",C48=0),"n.a.",IF(COUNTIFS('Instrument days'!$A$8:$A$207,A48,'Instrument days'!$B$8:$B$207,B48,'Instrument days'!$O$8:$O$207,"READY")&lt;&gt;C48,"n.a.",SUMIFS('Instrument days'!$G$8:$G$207,'Instrument days'!$A$8:$A$207,A48,'Instrument days'!$B$8:$B$207,B48)))</x:f>
        <x:v>n.a.</x:v>
      </x:c>
      <x:c r="E48" s="12" t="str">
        <x:f>IF(ISNUMBER(D48),SUMIFS('Instrument days'!$G$8:$G$207,'Instrument days'!$A$8:$A$207,A48,'Instrument days'!$B$8:$B$207,B48,'Instrument days'!$H$8:$H$207,"YES"),"n.a.")</x:f>
        <x:v>n.a.</x:v>
      </x:c>
      <x:c r="F48" s="1" t="str">
        <x:f>IF(OR(C48="",C48=0),"No source rows",IF(ISNUMBER(D48),"Source rows complete","Missing source inputs"))</x:f>
        <x:v>No source rows</x:v>
      </x:c>
      <x:c r="G48" s="1"/>
    </x:row>
    <x:row r="49" ht="25" customHeight="1">
      <x:c r="A49" s="9" t="str">
        <x:f>IF(ISNUMBER($B$4),$B$4+41,"")</x:f>
      </x:c>
      <x:c r="B49" s="1" t="str">
        <x:f>IF($B$5="","",$B$5)</x:f>
      </x:c>
      <x:c r="C49" s="1" t="str">
        <x:f>IF(OR(A49="",B49=""),"",COUNTIFS('Instrument days'!$A$8:$A$207,A49,'Instrument days'!$B$8:$B$207,B49))</x:f>
      </x:c>
      <x:c r="D49" s="12" t="str">
        <x:f>IF(OR(C49="",C49=0),"n.a.",IF(COUNTIFS('Instrument days'!$A$8:$A$207,A49,'Instrument days'!$B$8:$B$207,B49,'Instrument days'!$O$8:$O$207,"READY")&lt;&gt;C49,"n.a.",SUMIFS('Instrument days'!$G$8:$G$207,'Instrument days'!$A$8:$A$207,A49,'Instrument days'!$B$8:$B$207,B49)))</x:f>
        <x:v>n.a.</x:v>
      </x:c>
      <x:c r="E49" s="12" t="str">
        <x:f>IF(ISNUMBER(D49),SUMIFS('Instrument days'!$G$8:$G$207,'Instrument days'!$A$8:$A$207,A49,'Instrument days'!$B$8:$B$207,B49,'Instrument days'!$H$8:$H$207,"YES"),"n.a.")</x:f>
        <x:v>n.a.</x:v>
      </x:c>
      <x:c r="F49" s="1" t="str">
        <x:f>IF(OR(C49="",C49=0),"No source rows",IF(ISNUMBER(D49),"Source rows complete","Missing source inputs"))</x:f>
        <x:v>No source rows</x:v>
      </x:c>
      <x:c r="G49" s="1"/>
    </x:row>
    <x:row r="50" ht="25" customHeight="1">
      <x:c r="A50" s="9" t="str">
        <x:f>IF(ISNUMBER($B$4),$B$4+42,"")</x:f>
      </x:c>
      <x:c r="B50" s="1" t="str">
        <x:f>IF($B$5="","",$B$5)</x:f>
      </x:c>
      <x:c r="C50" s="1" t="str">
        <x:f>IF(OR(A50="",B50=""),"",COUNTIFS('Instrument days'!$A$8:$A$207,A50,'Instrument days'!$B$8:$B$207,B50))</x:f>
      </x:c>
      <x:c r="D50" s="12" t="str">
        <x:f>IF(OR(C50="",C50=0),"n.a.",IF(COUNTIFS('Instrument days'!$A$8:$A$207,A50,'Instrument days'!$B$8:$B$207,B50,'Instrument days'!$O$8:$O$207,"READY")&lt;&gt;C50,"n.a.",SUMIFS('Instrument days'!$G$8:$G$207,'Instrument days'!$A$8:$A$207,A50,'Instrument days'!$B$8:$B$207,B50)))</x:f>
        <x:v>n.a.</x:v>
      </x:c>
      <x:c r="E50" s="12" t="str">
        <x:f>IF(ISNUMBER(D50),SUMIFS('Instrument days'!$G$8:$G$207,'Instrument days'!$A$8:$A$207,A50,'Instrument days'!$B$8:$B$207,B50,'Instrument days'!$H$8:$H$207,"YES"),"n.a.")</x:f>
        <x:v>n.a.</x:v>
      </x:c>
      <x:c r="F50" s="1" t="str">
        <x:f>IF(OR(C50="",C50=0),"No source rows",IF(ISNUMBER(D50),"Source rows complete","Missing source inputs"))</x:f>
        <x:v>No source rows</x:v>
      </x:c>
      <x:c r="G50" s="1"/>
    </x:row>
    <x:row r="51" ht="25" customHeight="1">
      <x:c r="A51" s="9" t="str">
        <x:f>IF(ISNUMBER($B$4),$B$4+43,"")</x:f>
      </x:c>
      <x:c r="B51" s="1" t="str">
        <x:f>IF($B$5="","",$B$5)</x:f>
      </x:c>
      <x:c r="C51" s="1" t="str">
        <x:f>IF(OR(A51="",B51=""),"",COUNTIFS('Instrument days'!$A$8:$A$207,A51,'Instrument days'!$B$8:$B$207,B51))</x:f>
      </x:c>
      <x:c r="D51" s="12" t="str">
        <x:f>IF(OR(C51="",C51=0),"n.a.",IF(COUNTIFS('Instrument days'!$A$8:$A$207,A51,'Instrument days'!$B$8:$B$207,B51,'Instrument days'!$O$8:$O$207,"READY")&lt;&gt;C51,"n.a.",SUMIFS('Instrument days'!$G$8:$G$207,'Instrument days'!$A$8:$A$207,A51,'Instrument days'!$B$8:$B$207,B51)))</x:f>
        <x:v>n.a.</x:v>
      </x:c>
      <x:c r="E51" s="12" t="str">
        <x:f>IF(ISNUMBER(D51),SUMIFS('Instrument days'!$G$8:$G$207,'Instrument days'!$A$8:$A$207,A51,'Instrument days'!$B$8:$B$207,B51,'Instrument days'!$H$8:$H$207,"YES"),"n.a.")</x:f>
        <x:v>n.a.</x:v>
      </x:c>
      <x:c r="F51" s="1" t="str">
        <x:f>IF(OR(C51="",C51=0),"No source rows",IF(ISNUMBER(D51),"Source rows complete","Missing source inputs"))</x:f>
        <x:v>No source rows</x:v>
      </x:c>
      <x:c r="G51" s="1"/>
    </x:row>
    <x:row r="52" ht="25" customHeight="1">
      <x:c r="A52" s="9" t="str">
        <x:f>IF(ISNUMBER($B$4),$B$4+44,"")</x:f>
      </x:c>
      <x:c r="B52" s="1" t="str">
        <x:f>IF($B$5="","",$B$5)</x:f>
      </x:c>
      <x:c r="C52" s="1" t="str">
        <x:f>IF(OR(A52="",B52=""),"",COUNTIFS('Instrument days'!$A$8:$A$207,A52,'Instrument days'!$B$8:$B$207,B52))</x:f>
      </x:c>
      <x:c r="D52" s="12" t="str">
        <x:f>IF(OR(C52="",C52=0),"n.a.",IF(COUNTIFS('Instrument days'!$A$8:$A$207,A52,'Instrument days'!$B$8:$B$207,B52,'Instrument days'!$O$8:$O$207,"READY")&lt;&gt;C52,"n.a.",SUMIFS('Instrument days'!$G$8:$G$207,'Instrument days'!$A$8:$A$207,A52,'Instrument days'!$B$8:$B$207,B52)))</x:f>
        <x:v>n.a.</x:v>
      </x:c>
      <x:c r="E52" s="12" t="str">
        <x:f>IF(ISNUMBER(D52),SUMIFS('Instrument days'!$G$8:$G$207,'Instrument days'!$A$8:$A$207,A52,'Instrument days'!$B$8:$B$207,B52,'Instrument days'!$H$8:$H$207,"YES"),"n.a.")</x:f>
        <x:v>n.a.</x:v>
      </x:c>
      <x:c r="F52" s="1" t="str">
        <x:f>IF(OR(C52="",C52=0),"No source rows",IF(ISNUMBER(D52),"Source rows complete","Missing source inputs"))</x:f>
        <x:v>No source rows</x:v>
      </x:c>
      <x:c r="G52" s="1"/>
    </x:row>
    <x:row r="53" ht="25" customHeight="1">
      <x:c r="A53" s="9" t="str">
        <x:f>IF(ISNUMBER($B$4),$B$4+45,"")</x:f>
      </x:c>
      <x:c r="B53" s="1" t="str">
        <x:f>IF($B$5="","",$B$5)</x:f>
      </x:c>
      <x:c r="C53" s="1" t="str">
        <x:f>IF(OR(A53="",B53=""),"",COUNTIFS('Instrument days'!$A$8:$A$207,A53,'Instrument days'!$B$8:$B$207,B53))</x:f>
      </x:c>
      <x:c r="D53" s="12" t="str">
        <x:f>IF(OR(C53="",C53=0),"n.a.",IF(COUNTIFS('Instrument days'!$A$8:$A$207,A53,'Instrument days'!$B$8:$B$207,B53,'Instrument days'!$O$8:$O$207,"READY")&lt;&gt;C53,"n.a.",SUMIFS('Instrument days'!$G$8:$G$207,'Instrument days'!$A$8:$A$207,A53,'Instrument days'!$B$8:$B$207,B53)))</x:f>
        <x:v>n.a.</x:v>
      </x:c>
      <x:c r="E53" s="12" t="str">
        <x:f>IF(ISNUMBER(D53),SUMIFS('Instrument days'!$G$8:$G$207,'Instrument days'!$A$8:$A$207,A53,'Instrument days'!$B$8:$B$207,B53,'Instrument days'!$H$8:$H$207,"YES"),"n.a.")</x:f>
        <x:v>n.a.</x:v>
      </x:c>
      <x:c r="F53" s="1" t="str">
        <x:f>IF(OR(C53="",C53=0),"No source rows",IF(ISNUMBER(D53),"Source rows complete","Missing source inputs"))</x:f>
        <x:v>No source rows</x:v>
      </x:c>
      <x:c r="G53" s="1"/>
    </x:row>
    <x:row r="54" ht="25" customHeight="1">
      <x:c r="A54" s="9" t="str">
        <x:f>IF(ISNUMBER($B$4),$B$4+46,"")</x:f>
      </x:c>
      <x:c r="B54" s="1" t="str">
        <x:f>IF($B$5="","",$B$5)</x:f>
      </x:c>
      <x:c r="C54" s="1" t="str">
        <x:f>IF(OR(A54="",B54=""),"",COUNTIFS('Instrument days'!$A$8:$A$207,A54,'Instrument days'!$B$8:$B$207,B54))</x:f>
      </x:c>
      <x:c r="D54" s="12" t="str">
        <x:f>IF(OR(C54="",C54=0),"n.a.",IF(COUNTIFS('Instrument days'!$A$8:$A$207,A54,'Instrument days'!$B$8:$B$207,B54,'Instrument days'!$O$8:$O$207,"READY")&lt;&gt;C54,"n.a.",SUMIFS('Instrument days'!$G$8:$G$207,'Instrument days'!$A$8:$A$207,A54,'Instrument days'!$B$8:$B$207,B54)))</x:f>
        <x:v>n.a.</x:v>
      </x:c>
      <x:c r="E54" s="12" t="str">
        <x:f>IF(ISNUMBER(D54),SUMIFS('Instrument days'!$G$8:$G$207,'Instrument days'!$A$8:$A$207,A54,'Instrument days'!$B$8:$B$207,B54,'Instrument days'!$H$8:$H$207,"YES"),"n.a.")</x:f>
        <x:v>n.a.</x:v>
      </x:c>
      <x:c r="F54" s="1" t="str">
        <x:f>IF(OR(C54="",C54=0),"No source rows",IF(ISNUMBER(D54),"Source rows complete","Missing source inputs"))</x:f>
        <x:v>No source rows</x:v>
      </x:c>
      <x:c r="G54" s="1"/>
    </x:row>
    <x:row r="55" ht="25" customHeight="1">
      <x:c r="A55" s="9" t="str">
        <x:f>IF(ISNUMBER($B$4),$B$4+47,"")</x:f>
      </x:c>
      <x:c r="B55" s="1" t="str">
        <x:f>IF($B$5="","",$B$5)</x:f>
      </x:c>
      <x:c r="C55" s="1" t="str">
        <x:f>IF(OR(A55="",B55=""),"",COUNTIFS('Instrument days'!$A$8:$A$207,A55,'Instrument days'!$B$8:$B$207,B55))</x:f>
      </x:c>
      <x:c r="D55" s="12" t="str">
        <x:f>IF(OR(C55="",C55=0),"n.a.",IF(COUNTIFS('Instrument days'!$A$8:$A$207,A55,'Instrument days'!$B$8:$B$207,B55,'Instrument days'!$O$8:$O$207,"READY")&lt;&gt;C55,"n.a.",SUMIFS('Instrument days'!$G$8:$G$207,'Instrument days'!$A$8:$A$207,A55,'Instrument days'!$B$8:$B$207,B55)))</x:f>
        <x:v>n.a.</x:v>
      </x:c>
      <x:c r="E55" s="12" t="str">
        <x:f>IF(ISNUMBER(D55),SUMIFS('Instrument days'!$G$8:$G$207,'Instrument days'!$A$8:$A$207,A55,'Instrument days'!$B$8:$B$207,B55,'Instrument days'!$H$8:$H$207,"YES"),"n.a.")</x:f>
        <x:v>n.a.</x:v>
      </x:c>
      <x:c r="F55" s="1" t="str">
        <x:f>IF(OR(C55="",C55=0),"No source rows",IF(ISNUMBER(D55),"Source rows complete","Missing source inputs"))</x:f>
        <x:v>No source rows</x:v>
      </x:c>
      <x:c r="G55" s="1"/>
    </x:row>
    <x:row r="56" ht="25" customHeight="1">
      <x:c r="A56" s="9" t="str">
        <x:f>IF(ISNUMBER($B$4),$B$4+48,"")</x:f>
      </x:c>
      <x:c r="B56" s="1" t="str">
        <x:f>IF($B$5="","",$B$5)</x:f>
      </x:c>
      <x:c r="C56" s="1" t="str">
        <x:f>IF(OR(A56="",B56=""),"",COUNTIFS('Instrument days'!$A$8:$A$207,A56,'Instrument days'!$B$8:$B$207,B56))</x:f>
      </x:c>
      <x:c r="D56" s="12" t="str">
        <x:f>IF(OR(C56="",C56=0),"n.a.",IF(COUNTIFS('Instrument days'!$A$8:$A$207,A56,'Instrument days'!$B$8:$B$207,B56,'Instrument days'!$O$8:$O$207,"READY")&lt;&gt;C56,"n.a.",SUMIFS('Instrument days'!$G$8:$G$207,'Instrument days'!$A$8:$A$207,A56,'Instrument days'!$B$8:$B$207,B56)))</x:f>
        <x:v>n.a.</x:v>
      </x:c>
      <x:c r="E56" s="12" t="str">
        <x:f>IF(ISNUMBER(D56),SUMIFS('Instrument days'!$G$8:$G$207,'Instrument days'!$A$8:$A$207,A56,'Instrument days'!$B$8:$B$207,B56,'Instrument days'!$H$8:$H$207,"YES"),"n.a.")</x:f>
        <x:v>n.a.</x:v>
      </x:c>
      <x:c r="F56" s="1" t="str">
        <x:f>IF(OR(C56="",C56=0),"No source rows",IF(ISNUMBER(D56),"Source rows complete","Missing source inputs"))</x:f>
        <x:v>No source rows</x:v>
      </x:c>
      <x:c r="G56" s="1"/>
    </x:row>
    <x:row r="57" ht="25" customHeight="1">
      <x:c r="A57" s="9" t="str">
        <x:f>IF(ISNUMBER($B$4),$B$4+49,"")</x:f>
      </x:c>
      <x:c r="B57" s="1" t="str">
        <x:f>IF($B$5="","",$B$5)</x:f>
      </x:c>
      <x:c r="C57" s="1" t="str">
        <x:f>IF(OR(A57="",B57=""),"",COUNTIFS('Instrument days'!$A$8:$A$207,A57,'Instrument days'!$B$8:$B$207,B57))</x:f>
      </x:c>
      <x:c r="D57" s="12" t="str">
        <x:f>IF(OR(C57="",C57=0),"n.a.",IF(COUNTIFS('Instrument days'!$A$8:$A$207,A57,'Instrument days'!$B$8:$B$207,B57,'Instrument days'!$O$8:$O$207,"READY")&lt;&gt;C57,"n.a.",SUMIFS('Instrument days'!$G$8:$G$207,'Instrument days'!$A$8:$A$207,A57,'Instrument days'!$B$8:$B$207,B57)))</x:f>
        <x:v>n.a.</x:v>
      </x:c>
      <x:c r="E57" s="12" t="str">
        <x:f>IF(ISNUMBER(D57),SUMIFS('Instrument days'!$G$8:$G$207,'Instrument days'!$A$8:$A$207,A57,'Instrument days'!$B$8:$B$207,B57,'Instrument days'!$H$8:$H$207,"YES"),"n.a.")</x:f>
        <x:v>n.a.</x:v>
      </x:c>
      <x:c r="F57" s="1" t="str">
        <x:f>IF(OR(C57="",C57=0),"No source rows",IF(ISNUMBER(D57),"Source rows complete","Missing source inputs"))</x:f>
        <x:v>No source rows</x:v>
      </x:c>
      <x:c r="G57" s="1"/>
    </x:row>
    <x:row r="58" ht="25" customHeight="1">
      <x:c r="A58" s="9" t="str">
        <x:f>IF(ISNUMBER($B$4),$B$4+50,"")</x:f>
      </x:c>
      <x:c r="B58" s="1" t="str">
        <x:f>IF($B$5="","",$B$5)</x:f>
      </x:c>
      <x:c r="C58" s="1" t="str">
        <x:f>IF(OR(A58="",B58=""),"",COUNTIFS('Instrument days'!$A$8:$A$207,A58,'Instrument days'!$B$8:$B$207,B58))</x:f>
      </x:c>
      <x:c r="D58" s="12" t="str">
        <x:f>IF(OR(C58="",C58=0),"n.a.",IF(COUNTIFS('Instrument days'!$A$8:$A$207,A58,'Instrument days'!$B$8:$B$207,B58,'Instrument days'!$O$8:$O$207,"READY")&lt;&gt;C58,"n.a.",SUMIFS('Instrument days'!$G$8:$G$207,'Instrument days'!$A$8:$A$207,A58,'Instrument days'!$B$8:$B$207,B58)))</x:f>
        <x:v>n.a.</x:v>
      </x:c>
      <x:c r="E58" s="12" t="str">
        <x:f>IF(ISNUMBER(D58),SUMIFS('Instrument days'!$G$8:$G$207,'Instrument days'!$A$8:$A$207,A58,'Instrument days'!$B$8:$B$207,B58,'Instrument days'!$H$8:$H$207,"YES"),"n.a.")</x:f>
        <x:v>n.a.</x:v>
      </x:c>
      <x:c r="F58" s="1" t="str">
        <x:f>IF(OR(C58="",C58=0),"No source rows",IF(ISNUMBER(D58),"Source rows complete","Missing source inputs"))</x:f>
        <x:v>No source rows</x:v>
      </x:c>
      <x:c r="G58" s="1"/>
    </x:row>
    <x:row r="59" ht="25" customHeight="1">
      <x:c r="A59" s="9" t="str">
        <x:f>IF(ISNUMBER($B$4),$B$4+51,"")</x:f>
      </x:c>
      <x:c r="B59" s="1" t="str">
        <x:f>IF($B$5="","",$B$5)</x:f>
      </x:c>
      <x:c r="C59" s="1" t="str">
        <x:f>IF(OR(A59="",B59=""),"",COUNTIFS('Instrument days'!$A$8:$A$207,A59,'Instrument days'!$B$8:$B$207,B59))</x:f>
      </x:c>
      <x:c r="D59" s="12" t="str">
        <x:f>IF(OR(C59="",C59=0),"n.a.",IF(COUNTIFS('Instrument days'!$A$8:$A$207,A59,'Instrument days'!$B$8:$B$207,B59,'Instrument days'!$O$8:$O$207,"READY")&lt;&gt;C59,"n.a.",SUMIFS('Instrument days'!$G$8:$G$207,'Instrument days'!$A$8:$A$207,A59,'Instrument days'!$B$8:$B$207,B59)))</x:f>
        <x:v>n.a.</x:v>
      </x:c>
      <x:c r="E59" s="12" t="str">
        <x:f>IF(ISNUMBER(D59),SUMIFS('Instrument days'!$G$8:$G$207,'Instrument days'!$A$8:$A$207,A59,'Instrument days'!$B$8:$B$207,B59,'Instrument days'!$H$8:$H$207,"YES"),"n.a.")</x:f>
        <x:v>n.a.</x:v>
      </x:c>
      <x:c r="F59" s="1" t="str">
        <x:f>IF(OR(C59="",C59=0),"No source rows",IF(ISNUMBER(D59),"Source rows complete","Missing source inputs"))</x:f>
        <x:v>No source rows</x:v>
      </x:c>
      <x:c r="G59" s="1"/>
    </x:row>
    <x:row r="60" ht="25" customHeight="1">
      <x:c r="A60" s="9" t="str">
        <x:f>IF(ISNUMBER($B$4),$B$4+52,"")</x:f>
      </x:c>
      <x:c r="B60" s="1" t="str">
        <x:f>IF($B$5="","",$B$5)</x:f>
      </x:c>
      <x:c r="C60" s="1" t="str">
        <x:f>IF(OR(A60="",B60=""),"",COUNTIFS('Instrument days'!$A$8:$A$207,A60,'Instrument days'!$B$8:$B$207,B60))</x:f>
      </x:c>
      <x:c r="D60" s="12" t="str">
        <x:f>IF(OR(C60="",C60=0),"n.a.",IF(COUNTIFS('Instrument days'!$A$8:$A$207,A60,'Instrument days'!$B$8:$B$207,B60,'Instrument days'!$O$8:$O$207,"READY")&lt;&gt;C60,"n.a.",SUMIFS('Instrument days'!$G$8:$G$207,'Instrument days'!$A$8:$A$207,A60,'Instrument days'!$B$8:$B$207,B60)))</x:f>
        <x:v>n.a.</x:v>
      </x:c>
      <x:c r="E60" s="12" t="str">
        <x:f>IF(ISNUMBER(D60),SUMIFS('Instrument days'!$G$8:$G$207,'Instrument days'!$A$8:$A$207,A60,'Instrument days'!$B$8:$B$207,B60,'Instrument days'!$H$8:$H$207,"YES"),"n.a.")</x:f>
        <x:v>n.a.</x:v>
      </x:c>
      <x:c r="F60" s="1" t="str">
        <x:f>IF(OR(C60="",C60=0),"No source rows",IF(ISNUMBER(D60),"Source rows complete","Missing source inputs"))</x:f>
        <x:v>No source rows</x:v>
      </x:c>
      <x:c r="G60" s="1"/>
    </x:row>
    <x:row r="61" ht="25" customHeight="1">
      <x:c r="A61" s="9" t="str">
        <x:f>IF(ISNUMBER($B$4),$B$4+53,"")</x:f>
      </x:c>
      <x:c r="B61" s="1" t="str">
        <x:f>IF($B$5="","",$B$5)</x:f>
      </x:c>
      <x:c r="C61" s="1" t="str">
        <x:f>IF(OR(A61="",B61=""),"",COUNTIFS('Instrument days'!$A$8:$A$207,A61,'Instrument days'!$B$8:$B$207,B61))</x:f>
      </x:c>
      <x:c r="D61" s="12" t="str">
        <x:f>IF(OR(C61="",C61=0),"n.a.",IF(COUNTIFS('Instrument days'!$A$8:$A$207,A61,'Instrument days'!$B$8:$B$207,B61,'Instrument days'!$O$8:$O$207,"READY")&lt;&gt;C61,"n.a.",SUMIFS('Instrument days'!$G$8:$G$207,'Instrument days'!$A$8:$A$207,A61,'Instrument days'!$B$8:$B$207,B61)))</x:f>
        <x:v>n.a.</x:v>
      </x:c>
      <x:c r="E61" s="12" t="str">
        <x:f>IF(ISNUMBER(D61),SUMIFS('Instrument days'!$G$8:$G$207,'Instrument days'!$A$8:$A$207,A61,'Instrument days'!$B$8:$B$207,B61,'Instrument days'!$H$8:$H$207,"YES"),"n.a.")</x:f>
        <x:v>n.a.</x:v>
      </x:c>
      <x:c r="F61" s="1" t="str">
        <x:f>IF(OR(C61="",C61=0),"No source rows",IF(ISNUMBER(D61),"Source rows complete","Missing source inputs"))</x:f>
        <x:v>No source rows</x:v>
      </x:c>
      <x:c r="G61" s="1"/>
    </x:row>
    <x:row r="62" ht="25" customHeight="1">
      <x:c r="A62" s="9" t="str">
        <x:f>IF(ISNUMBER($B$4),$B$4+54,"")</x:f>
      </x:c>
      <x:c r="B62" s="1" t="str">
        <x:f>IF($B$5="","",$B$5)</x:f>
      </x:c>
      <x:c r="C62" s="1" t="str">
        <x:f>IF(OR(A62="",B62=""),"",COUNTIFS('Instrument days'!$A$8:$A$207,A62,'Instrument days'!$B$8:$B$207,B62))</x:f>
      </x:c>
      <x:c r="D62" s="12" t="str">
        <x:f>IF(OR(C62="",C62=0),"n.a.",IF(COUNTIFS('Instrument days'!$A$8:$A$207,A62,'Instrument days'!$B$8:$B$207,B62,'Instrument days'!$O$8:$O$207,"READY")&lt;&gt;C62,"n.a.",SUMIFS('Instrument days'!$G$8:$G$207,'Instrument days'!$A$8:$A$207,A62,'Instrument days'!$B$8:$B$207,B62)))</x:f>
        <x:v>n.a.</x:v>
      </x:c>
      <x:c r="E62" s="12" t="str">
        <x:f>IF(ISNUMBER(D62),SUMIFS('Instrument days'!$G$8:$G$207,'Instrument days'!$A$8:$A$207,A62,'Instrument days'!$B$8:$B$207,B62,'Instrument days'!$H$8:$H$207,"YES"),"n.a.")</x:f>
        <x:v>n.a.</x:v>
      </x:c>
      <x:c r="F62" s="1" t="str">
        <x:f>IF(OR(C62="",C62=0),"No source rows",IF(ISNUMBER(D62),"Source rows complete","Missing source inputs"))</x:f>
        <x:v>No source rows</x:v>
      </x:c>
      <x:c r="G62" s="1"/>
    </x:row>
    <x:row r="63" ht="25" customHeight="1">
      <x:c r="A63" s="9" t="str">
        <x:f>IF(ISNUMBER($B$4),$B$4+55,"")</x:f>
      </x:c>
      <x:c r="B63" s="1" t="str">
        <x:f>IF($B$5="","",$B$5)</x:f>
      </x:c>
      <x:c r="C63" s="1" t="str">
        <x:f>IF(OR(A63="",B63=""),"",COUNTIFS('Instrument days'!$A$8:$A$207,A63,'Instrument days'!$B$8:$B$207,B63))</x:f>
      </x:c>
      <x:c r="D63" s="12" t="str">
        <x:f>IF(OR(C63="",C63=0),"n.a.",IF(COUNTIFS('Instrument days'!$A$8:$A$207,A63,'Instrument days'!$B$8:$B$207,B63,'Instrument days'!$O$8:$O$207,"READY")&lt;&gt;C63,"n.a.",SUMIFS('Instrument days'!$G$8:$G$207,'Instrument days'!$A$8:$A$207,A63,'Instrument days'!$B$8:$B$207,B63)))</x:f>
        <x:v>n.a.</x:v>
      </x:c>
      <x:c r="E63" s="12" t="str">
        <x:f>IF(ISNUMBER(D63),SUMIFS('Instrument days'!$G$8:$G$207,'Instrument days'!$A$8:$A$207,A63,'Instrument days'!$B$8:$B$207,B63,'Instrument days'!$H$8:$H$207,"YES"),"n.a.")</x:f>
        <x:v>n.a.</x:v>
      </x:c>
      <x:c r="F63" s="1" t="str">
        <x:f>IF(OR(C63="",C63=0),"No source rows",IF(ISNUMBER(D63),"Source rows complete","Missing source inputs"))</x:f>
        <x:v>No source rows</x:v>
      </x:c>
      <x:c r="G63" s="1"/>
    </x:row>
    <x:row r="64" ht="25" customHeight="1">
      <x:c r="A64" s="9" t="str">
        <x:f>IF(ISNUMBER($B$4),$B$4+56,"")</x:f>
      </x:c>
      <x:c r="B64" s="1" t="str">
        <x:f>IF($B$5="","",$B$5)</x:f>
      </x:c>
      <x:c r="C64" s="1" t="str">
        <x:f>IF(OR(A64="",B64=""),"",COUNTIFS('Instrument days'!$A$8:$A$207,A64,'Instrument days'!$B$8:$B$207,B64))</x:f>
      </x:c>
      <x:c r="D64" s="12" t="str">
        <x:f>IF(OR(C64="",C64=0),"n.a.",IF(COUNTIFS('Instrument days'!$A$8:$A$207,A64,'Instrument days'!$B$8:$B$207,B64,'Instrument days'!$O$8:$O$207,"READY")&lt;&gt;C64,"n.a.",SUMIFS('Instrument days'!$G$8:$G$207,'Instrument days'!$A$8:$A$207,A64,'Instrument days'!$B$8:$B$207,B64)))</x:f>
        <x:v>n.a.</x:v>
      </x:c>
      <x:c r="E64" s="12" t="str">
        <x:f>IF(ISNUMBER(D64),SUMIFS('Instrument days'!$G$8:$G$207,'Instrument days'!$A$8:$A$207,A64,'Instrument days'!$B$8:$B$207,B64,'Instrument days'!$H$8:$H$207,"YES"),"n.a.")</x:f>
        <x:v>n.a.</x:v>
      </x:c>
      <x:c r="F64" s="1" t="str">
        <x:f>IF(OR(C64="",C64=0),"No source rows",IF(ISNUMBER(D64),"Source rows complete","Missing source inputs"))</x:f>
        <x:v>No source rows</x:v>
      </x:c>
      <x:c r="G64" s="1"/>
    </x:row>
    <x:row r="65" ht="25" customHeight="1">
      <x:c r="A65" s="9" t="str">
        <x:f>IF(ISNUMBER($B$4),$B$4+57,"")</x:f>
      </x:c>
      <x:c r="B65" s="1" t="str">
        <x:f>IF($B$5="","",$B$5)</x:f>
      </x:c>
      <x:c r="C65" s="1" t="str">
        <x:f>IF(OR(A65="",B65=""),"",COUNTIFS('Instrument days'!$A$8:$A$207,A65,'Instrument days'!$B$8:$B$207,B65))</x:f>
      </x:c>
      <x:c r="D65" s="12" t="str">
        <x:f>IF(OR(C65="",C65=0),"n.a.",IF(COUNTIFS('Instrument days'!$A$8:$A$207,A65,'Instrument days'!$B$8:$B$207,B65,'Instrument days'!$O$8:$O$207,"READY")&lt;&gt;C65,"n.a.",SUMIFS('Instrument days'!$G$8:$G$207,'Instrument days'!$A$8:$A$207,A65,'Instrument days'!$B$8:$B$207,B65)))</x:f>
        <x:v>n.a.</x:v>
      </x:c>
      <x:c r="E65" s="12" t="str">
        <x:f>IF(ISNUMBER(D65),SUMIFS('Instrument days'!$G$8:$G$207,'Instrument days'!$A$8:$A$207,A65,'Instrument days'!$B$8:$B$207,B65,'Instrument days'!$H$8:$H$207,"YES"),"n.a.")</x:f>
        <x:v>n.a.</x:v>
      </x:c>
      <x:c r="F65" s="1" t="str">
        <x:f>IF(OR(C65="",C65=0),"No source rows",IF(ISNUMBER(D65),"Source rows complete","Missing source inputs"))</x:f>
        <x:v>No source rows</x:v>
      </x:c>
      <x:c r="G65" s="1"/>
    </x:row>
    <x:row r="66" ht="25" customHeight="1">
      <x:c r="A66" s="9" t="str">
        <x:f>IF(ISNUMBER($B$4),$B$4+58,"")</x:f>
      </x:c>
      <x:c r="B66" s="1" t="str">
        <x:f>IF($B$5="","",$B$5)</x:f>
      </x:c>
      <x:c r="C66" s="1" t="str">
        <x:f>IF(OR(A66="",B66=""),"",COUNTIFS('Instrument days'!$A$8:$A$207,A66,'Instrument days'!$B$8:$B$207,B66))</x:f>
      </x:c>
      <x:c r="D66" s="12" t="str">
        <x:f>IF(OR(C66="",C66=0),"n.a.",IF(COUNTIFS('Instrument days'!$A$8:$A$207,A66,'Instrument days'!$B$8:$B$207,B66,'Instrument days'!$O$8:$O$207,"READY")&lt;&gt;C66,"n.a.",SUMIFS('Instrument days'!$G$8:$G$207,'Instrument days'!$A$8:$A$207,A66,'Instrument days'!$B$8:$B$207,B66)))</x:f>
        <x:v>n.a.</x:v>
      </x:c>
      <x:c r="E66" s="12" t="str">
        <x:f>IF(ISNUMBER(D66),SUMIFS('Instrument days'!$G$8:$G$207,'Instrument days'!$A$8:$A$207,A66,'Instrument days'!$B$8:$B$207,B66,'Instrument days'!$H$8:$H$207,"YES"),"n.a.")</x:f>
        <x:v>n.a.</x:v>
      </x:c>
      <x:c r="F66" s="1" t="str">
        <x:f>IF(OR(C66="",C66=0),"No source rows",IF(ISNUMBER(D66),"Source rows complete","Missing source inputs"))</x:f>
        <x:v>No source rows</x:v>
      </x:c>
      <x:c r="G66" s="1"/>
    </x:row>
    <x:row r="67" ht="25" customHeight="1">
      <x:c r="A67" s="9" t="str">
        <x:f>IF(ISNUMBER($B$4),$B$4+59,"")</x:f>
      </x:c>
      <x:c r="B67" s="1" t="str">
        <x:f>IF($B$5="","",$B$5)</x:f>
      </x:c>
      <x:c r="C67" s="1" t="str">
        <x:f>IF(OR(A67="",B67=""),"",COUNTIFS('Instrument days'!$A$8:$A$207,A67,'Instrument days'!$B$8:$B$207,B67))</x:f>
      </x:c>
      <x:c r="D67" s="12" t="str">
        <x:f>IF(OR(C67="",C67=0),"n.a.",IF(COUNTIFS('Instrument days'!$A$8:$A$207,A67,'Instrument days'!$B$8:$B$207,B67,'Instrument days'!$O$8:$O$207,"READY")&lt;&gt;C67,"n.a.",SUMIFS('Instrument days'!$G$8:$G$207,'Instrument days'!$A$8:$A$207,A67,'Instrument days'!$B$8:$B$207,B67)))</x:f>
        <x:v>n.a.</x:v>
      </x:c>
      <x:c r="E67" s="12" t="str">
        <x:f>IF(ISNUMBER(D67),SUMIFS('Instrument days'!$G$8:$G$207,'Instrument days'!$A$8:$A$207,A67,'Instrument days'!$B$8:$B$207,B67,'Instrument days'!$H$8:$H$207,"YES"),"n.a.")</x:f>
        <x:v>n.a.</x:v>
      </x:c>
      <x:c r="F67" s="1" t="str">
        <x:f>IF(OR(C67="",C67=0),"No source rows",IF(ISNUMBER(D67),"Source rows complete","Missing source inputs"))</x:f>
        <x:v>No source rows</x:v>
      </x:c>
      <x:c r="G67" s="1"/>
    </x:row>
    <x:row r="68" ht="25" customHeight="1">
      <x:c r="A68" s="9" t="str">
        <x:f>IF(ISNUMBER($B$4),$B$4+60,"")</x:f>
      </x:c>
      <x:c r="B68" s="1" t="str">
        <x:f>IF($B$5="","",$B$5)</x:f>
      </x:c>
      <x:c r="C68" s="1" t="str">
        <x:f>IF(OR(A68="",B68=""),"",COUNTIFS('Instrument days'!$A$8:$A$207,A68,'Instrument days'!$B$8:$B$207,B68))</x:f>
      </x:c>
      <x:c r="D68" s="12" t="str">
        <x:f>IF(OR(C68="",C68=0),"n.a.",IF(COUNTIFS('Instrument days'!$A$8:$A$207,A68,'Instrument days'!$B$8:$B$207,B68,'Instrument days'!$O$8:$O$207,"READY")&lt;&gt;C68,"n.a.",SUMIFS('Instrument days'!$G$8:$G$207,'Instrument days'!$A$8:$A$207,A68,'Instrument days'!$B$8:$B$207,B68)))</x:f>
        <x:v>n.a.</x:v>
      </x:c>
      <x:c r="E68" s="12" t="str">
        <x:f>IF(ISNUMBER(D68),SUMIFS('Instrument days'!$G$8:$G$207,'Instrument days'!$A$8:$A$207,A68,'Instrument days'!$B$8:$B$207,B68,'Instrument days'!$H$8:$H$207,"YES"),"n.a.")</x:f>
        <x:v>n.a.</x:v>
      </x:c>
      <x:c r="F68" s="1" t="str">
        <x:f>IF(OR(C68="",C68=0),"No source rows",IF(ISNUMBER(D68),"Source rows complete","Missing source inputs"))</x:f>
        <x:v>No source rows</x:v>
      </x:c>
      <x:c r="G68" s="1"/>
    </x:row>
    <x:row r="69" ht="25" customHeight="1">
      <x:c r="A69" s="9" t="str">
        <x:f>IF(ISNUMBER($B$4),$B$4+61,"")</x:f>
      </x:c>
      <x:c r="B69" s="1" t="str">
        <x:f>IF($B$5="","",$B$5)</x:f>
      </x:c>
      <x:c r="C69" s="1" t="str">
        <x:f>IF(OR(A69="",B69=""),"",COUNTIFS('Instrument days'!$A$8:$A$207,A69,'Instrument days'!$B$8:$B$207,B69))</x:f>
      </x:c>
      <x:c r="D69" s="12" t="str">
        <x:f>IF(OR(C69="",C69=0),"n.a.",IF(COUNTIFS('Instrument days'!$A$8:$A$207,A69,'Instrument days'!$B$8:$B$207,B69,'Instrument days'!$O$8:$O$207,"READY")&lt;&gt;C69,"n.a.",SUMIFS('Instrument days'!$G$8:$G$207,'Instrument days'!$A$8:$A$207,A69,'Instrument days'!$B$8:$B$207,B69)))</x:f>
        <x:v>n.a.</x:v>
      </x:c>
      <x:c r="E69" s="12" t="str">
        <x:f>IF(ISNUMBER(D69),SUMIFS('Instrument days'!$G$8:$G$207,'Instrument days'!$A$8:$A$207,A69,'Instrument days'!$B$8:$B$207,B69,'Instrument days'!$H$8:$H$207,"YES"),"n.a.")</x:f>
        <x:v>n.a.</x:v>
      </x:c>
      <x:c r="F69" s="1" t="str">
        <x:f>IF(OR(C69="",C69=0),"No source rows",IF(ISNUMBER(D69),"Source rows complete","Missing source inputs"))</x:f>
        <x:v>No source rows</x:v>
      </x:c>
      <x:c r="G69" s="1"/>
    </x:row>
    <x:row r="70" ht="25" customHeight="1">
      <x:c r="A70" s="9" t="str">
        <x:f>IF(ISNUMBER($B$4),$B$4+62,"")</x:f>
      </x:c>
      <x:c r="B70" s="1" t="str">
        <x:f>IF($B$5="","",$B$5)</x:f>
      </x:c>
      <x:c r="C70" s="1" t="str">
        <x:f>IF(OR(A70="",B70=""),"",COUNTIFS('Instrument days'!$A$8:$A$207,A70,'Instrument days'!$B$8:$B$207,B70))</x:f>
      </x:c>
      <x:c r="D70" s="12" t="str">
        <x:f>IF(OR(C70="",C70=0),"n.a.",IF(COUNTIFS('Instrument days'!$A$8:$A$207,A70,'Instrument days'!$B$8:$B$207,B70,'Instrument days'!$O$8:$O$207,"READY")&lt;&gt;C70,"n.a.",SUMIFS('Instrument days'!$G$8:$G$207,'Instrument days'!$A$8:$A$207,A70,'Instrument days'!$B$8:$B$207,B70)))</x:f>
        <x:v>n.a.</x:v>
      </x:c>
      <x:c r="E70" s="12" t="str">
        <x:f>IF(ISNUMBER(D70),SUMIFS('Instrument days'!$G$8:$G$207,'Instrument days'!$A$8:$A$207,A70,'Instrument days'!$B$8:$B$207,B70,'Instrument days'!$H$8:$H$207,"YES"),"n.a.")</x:f>
        <x:v>n.a.</x:v>
      </x:c>
      <x:c r="F70" s="1" t="str">
        <x:f>IF(OR(C70="",C70=0),"No source rows",IF(ISNUMBER(D70),"Source rows complete","Missing source inputs"))</x:f>
        <x:v>No source rows</x:v>
      </x:c>
      <x:c r="G70" s="1"/>
    </x:row>
    <x:row r="71" ht="25" customHeight="1">
      <x:c r="A71" s="9" t="str">
        <x:f>IF(ISNUMBER($B$4),$B$4+63,"")</x:f>
      </x:c>
      <x:c r="B71" s="1" t="str">
        <x:f>IF($B$5="","",$B$5)</x:f>
      </x:c>
      <x:c r="C71" s="1" t="str">
        <x:f>IF(OR(A71="",B71=""),"",COUNTIFS('Instrument days'!$A$8:$A$207,A71,'Instrument days'!$B$8:$B$207,B71))</x:f>
      </x:c>
      <x:c r="D71" s="12" t="str">
        <x:f>IF(OR(C71="",C71=0),"n.a.",IF(COUNTIFS('Instrument days'!$A$8:$A$207,A71,'Instrument days'!$B$8:$B$207,B71,'Instrument days'!$O$8:$O$207,"READY")&lt;&gt;C71,"n.a.",SUMIFS('Instrument days'!$G$8:$G$207,'Instrument days'!$A$8:$A$207,A71,'Instrument days'!$B$8:$B$207,B71)))</x:f>
        <x:v>n.a.</x:v>
      </x:c>
      <x:c r="E71" s="12" t="str">
        <x:f>IF(ISNUMBER(D71),SUMIFS('Instrument days'!$G$8:$G$207,'Instrument days'!$A$8:$A$207,A71,'Instrument days'!$B$8:$B$207,B71,'Instrument days'!$H$8:$H$207,"YES"),"n.a.")</x:f>
        <x:v>n.a.</x:v>
      </x:c>
      <x:c r="F71" s="1" t="str">
        <x:f>IF(OR(C71="",C71=0),"No source rows",IF(ISNUMBER(D71),"Source rows complete","Missing source inputs"))</x:f>
        <x:v>No source rows</x:v>
      </x:c>
      <x:c r="G71" s="1"/>
    </x:row>
    <x:row r="72" ht="25" customHeight="1">
      <x:c r="A72" s="9" t="str">
        <x:f>IF(ISNUMBER($B$4),$B$4+64,"")</x:f>
      </x:c>
      <x:c r="B72" s="1" t="str">
        <x:f>IF($B$5="","",$B$5)</x:f>
      </x:c>
      <x:c r="C72" s="1" t="str">
        <x:f>IF(OR(A72="",B72=""),"",COUNTIFS('Instrument days'!$A$8:$A$207,A72,'Instrument days'!$B$8:$B$207,B72))</x:f>
      </x:c>
      <x:c r="D72" s="12" t="str">
        <x:f>IF(OR(C72="",C72=0),"n.a.",IF(COUNTIFS('Instrument days'!$A$8:$A$207,A72,'Instrument days'!$B$8:$B$207,B72,'Instrument days'!$O$8:$O$207,"READY")&lt;&gt;C72,"n.a.",SUMIFS('Instrument days'!$G$8:$G$207,'Instrument days'!$A$8:$A$207,A72,'Instrument days'!$B$8:$B$207,B72)))</x:f>
        <x:v>n.a.</x:v>
      </x:c>
      <x:c r="E72" s="12" t="str">
        <x:f>IF(ISNUMBER(D72),SUMIFS('Instrument days'!$G$8:$G$207,'Instrument days'!$A$8:$A$207,A72,'Instrument days'!$B$8:$B$207,B72,'Instrument days'!$H$8:$H$207,"YES"),"n.a.")</x:f>
        <x:v>n.a.</x:v>
      </x:c>
      <x:c r="F72" s="1" t="str">
        <x:f>IF(OR(C72="",C72=0),"No source rows",IF(ISNUMBER(D72),"Source rows complete","Missing source inputs"))</x:f>
        <x:v>No source rows</x:v>
      </x:c>
      <x:c r="G72" s="1"/>
    </x:row>
    <x:row r="73" ht="25" customHeight="1">
      <x:c r="A73" s="9" t="str">
        <x:f>IF(ISNUMBER($B$4),$B$4+65,"")</x:f>
      </x:c>
      <x:c r="B73" s="1" t="str">
        <x:f>IF($B$5="","",$B$5)</x:f>
      </x:c>
      <x:c r="C73" s="1" t="str">
        <x:f>IF(OR(A73="",B73=""),"",COUNTIFS('Instrument days'!$A$8:$A$207,A73,'Instrument days'!$B$8:$B$207,B73))</x:f>
      </x:c>
      <x:c r="D73" s="12" t="str">
        <x:f>IF(OR(C73="",C73=0),"n.a.",IF(COUNTIFS('Instrument days'!$A$8:$A$207,A73,'Instrument days'!$B$8:$B$207,B73,'Instrument days'!$O$8:$O$207,"READY")&lt;&gt;C73,"n.a.",SUMIFS('Instrument days'!$G$8:$G$207,'Instrument days'!$A$8:$A$207,A73,'Instrument days'!$B$8:$B$207,B73)))</x:f>
        <x:v>n.a.</x:v>
      </x:c>
      <x:c r="E73" s="12" t="str">
        <x:f>IF(ISNUMBER(D73),SUMIFS('Instrument days'!$G$8:$G$207,'Instrument days'!$A$8:$A$207,A73,'Instrument days'!$B$8:$B$207,B73,'Instrument days'!$H$8:$H$207,"YES"),"n.a.")</x:f>
        <x:v>n.a.</x:v>
      </x:c>
      <x:c r="F73" s="1" t="str">
        <x:f>IF(OR(C73="",C73=0),"No source rows",IF(ISNUMBER(D73),"Source rows complete","Missing source inputs"))</x:f>
        <x:v>No source rows</x:v>
      </x:c>
      <x:c r="G73" s="1"/>
    </x:row>
    <x:row r="74" ht="25" customHeight="1">
      <x:c r="A74" s="9" t="str">
        <x:f>IF(ISNUMBER($B$4),$B$4+66,"")</x:f>
      </x:c>
      <x:c r="B74" s="1" t="str">
        <x:f>IF($B$5="","",$B$5)</x:f>
      </x:c>
      <x:c r="C74" s="1" t="str">
        <x:f>IF(OR(A74="",B74=""),"",COUNTIFS('Instrument days'!$A$8:$A$207,A74,'Instrument days'!$B$8:$B$207,B74))</x:f>
      </x:c>
      <x:c r="D74" s="12" t="str">
        <x:f>IF(OR(C74="",C74=0),"n.a.",IF(COUNTIFS('Instrument days'!$A$8:$A$207,A74,'Instrument days'!$B$8:$B$207,B74,'Instrument days'!$O$8:$O$207,"READY")&lt;&gt;C74,"n.a.",SUMIFS('Instrument days'!$G$8:$G$207,'Instrument days'!$A$8:$A$207,A74,'Instrument days'!$B$8:$B$207,B74)))</x:f>
        <x:v>n.a.</x:v>
      </x:c>
      <x:c r="E74" s="12" t="str">
        <x:f>IF(ISNUMBER(D74),SUMIFS('Instrument days'!$G$8:$G$207,'Instrument days'!$A$8:$A$207,A74,'Instrument days'!$B$8:$B$207,B74,'Instrument days'!$H$8:$H$207,"YES"),"n.a.")</x:f>
        <x:v>n.a.</x:v>
      </x:c>
      <x:c r="F74" s="1" t="str">
        <x:f>IF(OR(C74="",C74=0),"No source rows",IF(ISNUMBER(D74),"Source rows complete","Missing source inputs"))</x:f>
        <x:v>No source rows</x:v>
      </x:c>
      <x:c r="G74" s="1"/>
    </x:row>
    <x:row r="75" ht="25" customHeight="1">
      <x:c r="A75" s="9" t="str">
        <x:f>IF(ISNUMBER($B$4),$B$4+67,"")</x:f>
      </x:c>
      <x:c r="B75" s="1" t="str">
        <x:f>IF($B$5="","",$B$5)</x:f>
      </x:c>
      <x:c r="C75" s="1" t="str">
        <x:f>IF(OR(A75="",B75=""),"",COUNTIFS('Instrument days'!$A$8:$A$207,A75,'Instrument days'!$B$8:$B$207,B75))</x:f>
      </x:c>
      <x:c r="D75" s="12" t="str">
        <x:f>IF(OR(C75="",C75=0),"n.a.",IF(COUNTIFS('Instrument days'!$A$8:$A$207,A75,'Instrument days'!$B$8:$B$207,B75,'Instrument days'!$O$8:$O$207,"READY")&lt;&gt;C75,"n.a.",SUMIFS('Instrument days'!$G$8:$G$207,'Instrument days'!$A$8:$A$207,A75,'Instrument days'!$B$8:$B$207,B75)))</x:f>
        <x:v>n.a.</x:v>
      </x:c>
      <x:c r="E75" s="12" t="str">
        <x:f>IF(ISNUMBER(D75),SUMIFS('Instrument days'!$G$8:$G$207,'Instrument days'!$A$8:$A$207,A75,'Instrument days'!$B$8:$B$207,B75,'Instrument days'!$H$8:$H$207,"YES"),"n.a.")</x:f>
        <x:v>n.a.</x:v>
      </x:c>
      <x:c r="F75" s="1" t="str">
        <x:f>IF(OR(C75="",C75=0),"No source rows",IF(ISNUMBER(D75),"Source rows complete","Missing source inputs"))</x:f>
        <x:v>No source rows</x:v>
      </x:c>
      <x:c r="G75" s="1"/>
    </x:row>
    <x:row r="76" ht="25" customHeight="1">
      <x:c r="A76" s="9" t="str">
        <x:f>IF(ISNUMBER($B$4),$B$4+68,"")</x:f>
      </x:c>
      <x:c r="B76" s="1" t="str">
        <x:f>IF($B$5="","",$B$5)</x:f>
      </x:c>
      <x:c r="C76" s="1" t="str">
        <x:f>IF(OR(A76="",B76=""),"",COUNTIFS('Instrument days'!$A$8:$A$207,A76,'Instrument days'!$B$8:$B$207,B76))</x:f>
      </x:c>
      <x:c r="D76" s="12" t="str">
        <x:f>IF(OR(C76="",C76=0),"n.a.",IF(COUNTIFS('Instrument days'!$A$8:$A$207,A76,'Instrument days'!$B$8:$B$207,B76,'Instrument days'!$O$8:$O$207,"READY")&lt;&gt;C76,"n.a.",SUMIFS('Instrument days'!$G$8:$G$207,'Instrument days'!$A$8:$A$207,A76,'Instrument days'!$B$8:$B$207,B76)))</x:f>
        <x:v>n.a.</x:v>
      </x:c>
      <x:c r="E76" s="12" t="str">
        <x:f>IF(ISNUMBER(D76),SUMIFS('Instrument days'!$G$8:$G$207,'Instrument days'!$A$8:$A$207,A76,'Instrument days'!$B$8:$B$207,B76,'Instrument days'!$H$8:$H$207,"YES"),"n.a.")</x:f>
        <x:v>n.a.</x:v>
      </x:c>
      <x:c r="F76" s="1" t="str">
        <x:f>IF(OR(C76="",C76=0),"No source rows",IF(ISNUMBER(D76),"Source rows complete","Missing source inputs"))</x:f>
        <x:v>No source rows</x:v>
      </x:c>
      <x:c r="G76" s="1"/>
    </x:row>
    <x:row r="77" ht="25" customHeight="1">
      <x:c r="A77" s="9" t="str">
        <x:f>IF(ISNUMBER($B$4),$B$4+69,"")</x:f>
      </x:c>
      <x:c r="B77" s="1" t="str">
        <x:f>IF($B$5="","",$B$5)</x:f>
      </x:c>
      <x:c r="C77" s="1" t="str">
        <x:f>IF(OR(A77="",B77=""),"",COUNTIFS('Instrument days'!$A$8:$A$207,A77,'Instrument days'!$B$8:$B$207,B77))</x:f>
      </x:c>
      <x:c r="D77" s="12" t="str">
        <x:f>IF(OR(C77="",C77=0),"n.a.",IF(COUNTIFS('Instrument days'!$A$8:$A$207,A77,'Instrument days'!$B$8:$B$207,B77,'Instrument days'!$O$8:$O$207,"READY")&lt;&gt;C77,"n.a.",SUMIFS('Instrument days'!$G$8:$G$207,'Instrument days'!$A$8:$A$207,A77,'Instrument days'!$B$8:$B$207,B77)))</x:f>
        <x:v>n.a.</x:v>
      </x:c>
      <x:c r="E77" s="12" t="str">
        <x:f>IF(ISNUMBER(D77),SUMIFS('Instrument days'!$G$8:$G$207,'Instrument days'!$A$8:$A$207,A77,'Instrument days'!$B$8:$B$207,B77,'Instrument days'!$H$8:$H$207,"YES"),"n.a.")</x:f>
        <x:v>n.a.</x:v>
      </x:c>
      <x:c r="F77" s="1" t="str">
        <x:f>IF(OR(C77="",C77=0),"No source rows",IF(ISNUMBER(D77),"Source rows complete","Missing source inputs"))</x:f>
        <x:v>No source rows</x:v>
      </x:c>
      <x:c r="G77" s="1"/>
    </x:row>
    <x:row r="78" ht="25" customHeight="1">
      <x:c r="A78" s="9" t="str">
        <x:f>IF(ISNUMBER($B$4),$B$4+70,"")</x:f>
      </x:c>
      <x:c r="B78" s="1" t="str">
        <x:f>IF($B$5="","",$B$5)</x:f>
      </x:c>
      <x:c r="C78" s="1" t="str">
        <x:f>IF(OR(A78="",B78=""),"",COUNTIFS('Instrument days'!$A$8:$A$207,A78,'Instrument days'!$B$8:$B$207,B78))</x:f>
      </x:c>
      <x:c r="D78" s="12" t="str">
        <x:f>IF(OR(C78="",C78=0),"n.a.",IF(COUNTIFS('Instrument days'!$A$8:$A$207,A78,'Instrument days'!$B$8:$B$207,B78,'Instrument days'!$O$8:$O$207,"READY")&lt;&gt;C78,"n.a.",SUMIFS('Instrument days'!$G$8:$G$207,'Instrument days'!$A$8:$A$207,A78,'Instrument days'!$B$8:$B$207,B78)))</x:f>
        <x:v>n.a.</x:v>
      </x:c>
      <x:c r="E78" s="12" t="str">
        <x:f>IF(ISNUMBER(D78),SUMIFS('Instrument days'!$G$8:$G$207,'Instrument days'!$A$8:$A$207,A78,'Instrument days'!$B$8:$B$207,B78,'Instrument days'!$H$8:$H$207,"YES"),"n.a.")</x:f>
        <x:v>n.a.</x:v>
      </x:c>
      <x:c r="F78" s="1" t="str">
        <x:f>IF(OR(C78="",C78=0),"No source rows",IF(ISNUMBER(D78),"Source rows complete","Missing source inputs"))</x:f>
        <x:v>No source rows</x:v>
      </x:c>
      <x:c r="G78" s="1"/>
    </x:row>
    <x:row r="79" ht="25" customHeight="1">
      <x:c r="A79" s="9" t="str">
        <x:f>IF(ISNUMBER($B$4),$B$4+71,"")</x:f>
      </x:c>
      <x:c r="B79" s="1" t="str">
        <x:f>IF($B$5="","",$B$5)</x:f>
      </x:c>
      <x:c r="C79" s="1" t="str">
        <x:f>IF(OR(A79="",B79=""),"",COUNTIFS('Instrument days'!$A$8:$A$207,A79,'Instrument days'!$B$8:$B$207,B79))</x:f>
      </x:c>
      <x:c r="D79" s="12" t="str">
        <x:f>IF(OR(C79="",C79=0),"n.a.",IF(COUNTIFS('Instrument days'!$A$8:$A$207,A79,'Instrument days'!$B$8:$B$207,B79,'Instrument days'!$O$8:$O$207,"READY")&lt;&gt;C79,"n.a.",SUMIFS('Instrument days'!$G$8:$G$207,'Instrument days'!$A$8:$A$207,A79,'Instrument days'!$B$8:$B$207,B79)))</x:f>
        <x:v>n.a.</x:v>
      </x:c>
      <x:c r="E79" s="12" t="str">
        <x:f>IF(ISNUMBER(D79),SUMIFS('Instrument days'!$G$8:$G$207,'Instrument days'!$A$8:$A$207,A79,'Instrument days'!$B$8:$B$207,B79,'Instrument days'!$H$8:$H$207,"YES"),"n.a.")</x:f>
        <x:v>n.a.</x:v>
      </x:c>
      <x:c r="F79" s="1" t="str">
        <x:f>IF(OR(C79="",C79=0),"No source rows",IF(ISNUMBER(D79),"Source rows complete","Missing source inputs"))</x:f>
        <x:v>No source rows</x:v>
      </x:c>
      <x:c r="G79" s="1"/>
    </x:row>
    <x:row r="80" ht="25" customHeight="1">
      <x:c r="A80" s="9" t="str">
        <x:f>IF(ISNUMBER($B$4),$B$4+72,"")</x:f>
      </x:c>
      <x:c r="B80" s="1" t="str">
        <x:f>IF($B$5="","",$B$5)</x:f>
      </x:c>
      <x:c r="C80" s="1" t="str">
        <x:f>IF(OR(A80="",B80=""),"",COUNTIFS('Instrument days'!$A$8:$A$207,A80,'Instrument days'!$B$8:$B$207,B80))</x:f>
      </x:c>
      <x:c r="D80" s="12" t="str">
        <x:f>IF(OR(C80="",C80=0),"n.a.",IF(COUNTIFS('Instrument days'!$A$8:$A$207,A80,'Instrument days'!$B$8:$B$207,B80,'Instrument days'!$O$8:$O$207,"READY")&lt;&gt;C80,"n.a.",SUMIFS('Instrument days'!$G$8:$G$207,'Instrument days'!$A$8:$A$207,A80,'Instrument days'!$B$8:$B$207,B80)))</x:f>
        <x:v>n.a.</x:v>
      </x:c>
      <x:c r="E80" s="12" t="str">
        <x:f>IF(ISNUMBER(D80),SUMIFS('Instrument days'!$G$8:$G$207,'Instrument days'!$A$8:$A$207,A80,'Instrument days'!$B$8:$B$207,B80,'Instrument days'!$H$8:$H$207,"YES"),"n.a.")</x:f>
        <x:v>n.a.</x:v>
      </x:c>
      <x:c r="F80" s="1" t="str">
        <x:f>IF(OR(C80="",C80=0),"No source rows",IF(ISNUMBER(D80),"Source rows complete","Missing source inputs"))</x:f>
        <x:v>No source rows</x:v>
      </x:c>
      <x:c r="G80" s="1"/>
    </x:row>
    <x:row r="81" ht="25" customHeight="1">
      <x:c r="A81" s="9" t="str">
        <x:f>IF(ISNUMBER($B$4),$B$4+73,"")</x:f>
      </x:c>
      <x:c r="B81" s="1" t="str">
        <x:f>IF($B$5="","",$B$5)</x:f>
      </x:c>
      <x:c r="C81" s="1" t="str">
        <x:f>IF(OR(A81="",B81=""),"",COUNTIFS('Instrument days'!$A$8:$A$207,A81,'Instrument days'!$B$8:$B$207,B81))</x:f>
      </x:c>
      <x:c r="D81" s="12" t="str">
        <x:f>IF(OR(C81="",C81=0),"n.a.",IF(COUNTIFS('Instrument days'!$A$8:$A$207,A81,'Instrument days'!$B$8:$B$207,B81,'Instrument days'!$O$8:$O$207,"READY")&lt;&gt;C81,"n.a.",SUMIFS('Instrument days'!$G$8:$G$207,'Instrument days'!$A$8:$A$207,A81,'Instrument days'!$B$8:$B$207,B81)))</x:f>
        <x:v>n.a.</x:v>
      </x:c>
      <x:c r="E81" s="12" t="str">
        <x:f>IF(ISNUMBER(D81),SUMIFS('Instrument days'!$G$8:$G$207,'Instrument days'!$A$8:$A$207,A81,'Instrument days'!$B$8:$B$207,B81,'Instrument days'!$H$8:$H$207,"YES"),"n.a.")</x:f>
        <x:v>n.a.</x:v>
      </x:c>
      <x:c r="F81" s="1" t="str">
        <x:f>IF(OR(C81="",C81=0),"No source rows",IF(ISNUMBER(D81),"Source rows complete","Missing source inputs"))</x:f>
        <x:v>No source rows</x:v>
      </x:c>
      <x:c r="G81" s="1"/>
    </x:row>
    <x:row r="82" ht="25" customHeight="1">
      <x:c r="A82" s="9" t="str">
        <x:f>IF(ISNUMBER($B$4),$B$4+74,"")</x:f>
      </x:c>
      <x:c r="B82" s="1" t="str">
        <x:f>IF($B$5="","",$B$5)</x:f>
      </x:c>
      <x:c r="C82" s="1" t="str">
        <x:f>IF(OR(A82="",B82=""),"",COUNTIFS('Instrument days'!$A$8:$A$207,A82,'Instrument days'!$B$8:$B$207,B82))</x:f>
      </x:c>
      <x:c r="D82" s="12" t="str">
        <x:f>IF(OR(C82="",C82=0),"n.a.",IF(COUNTIFS('Instrument days'!$A$8:$A$207,A82,'Instrument days'!$B$8:$B$207,B82,'Instrument days'!$O$8:$O$207,"READY")&lt;&gt;C82,"n.a.",SUMIFS('Instrument days'!$G$8:$G$207,'Instrument days'!$A$8:$A$207,A82,'Instrument days'!$B$8:$B$207,B82)))</x:f>
        <x:v>n.a.</x:v>
      </x:c>
      <x:c r="E82" s="12" t="str">
        <x:f>IF(ISNUMBER(D82),SUMIFS('Instrument days'!$G$8:$G$207,'Instrument days'!$A$8:$A$207,A82,'Instrument days'!$B$8:$B$207,B82,'Instrument days'!$H$8:$H$207,"YES"),"n.a.")</x:f>
        <x:v>n.a.</x:v>
      </x:c>
      <x:c r="F82" s="1" t="str">
        <x:f>IF(OR(C82="",C82=0),"No source rows",IF(ISNUMBER(D82),"Source rows complete","Missing source inputs"))</x:f>
        <x:v>No source rows</x:v>
      </x:c>
      <x:c r="G82" s="1"/>
    </x:row>
    <x:row r="83" ht="25" customHeight="1">
      <x:c r="A83" s="9" t="str">
        <x:f>IF(ISNUMBER($B$4),$B$4+75,"")</x:f>
      </x:c>
      <x:c r="B83" s="1" t="str">
        <x:f>IF($B$5="","",$B$5)</x:f>
      </x:c>
      <x:c r="C83" s="1" t="str">
        <x:f>IF(OR(A83="",B83=""),"",COUNTIFS('Instrument days'!$A$8:$A$207,A83,'Instrument days'!$B$8:$B$207,B83))</x:f>
      </x:c>
      <x:c r="D83" s="12" t="str">
        <x:f>IF(OR(C83="",C83=0),"n.a.",IF(COUNTIFS('Instrument days'!$A$8:$A$207,A83,'Instrument days'!$B$8:$B$207,B83,'Instrument days'!$O$8:$O$207,"READY")&lt;&gt;C83,"n.a.",SUMIFS('Instrument days'!$G$8:$G$207,'Instrument days'!$A$8:$A$207,A83,'Instrument days'!$B$8:$B$207,B83)))</x:f>
        <x:v>n.a.</x:v>
      </x:c>
      <x:c r="E83" s="12" t="str">
        <x:f>IF(ISNUMBER(D83),SUMIFS('Instrument days'!$G$8:$G$207,'Instrument days'!$A$8:$A$207,A83,'Instrument days'!$B$8:$B$207,B83,'Instrument days'!$H$8:$H$207,"YES"),"n.a.")</x:f>
        <x:v>n.a.</x:v>
      </x:c>
      <x:c r="F83" s="1" t="str">
        <x:f>IF(OR(C83="",C83=0),"No source rows",IF(ISNUMBER(D83),"Source rows complete","Missing source inputs"))</x:f>
        <x:v>No source rows</x:v>
      </x:c>
      <x:c r="G83" s="1"/>
    </x:row>
    <x:row r="84" ht="25" customHeight="1">
      <x:c r="A84" s="9" t="str">
        <x:f>IF(ISNUMBER($B$4),$B$4+76,"")</x:f>
      </x:c>
      <x:c r="B84" s="1" t="str">
        <x:f>IF($B$5="","",$B$5)</x:f>
      </x:c>
      <x:c r="C84" s="1" t="str">
        <x:f>IF(OR(A84="",B84=""),"",COUNTIFS('Instrument days'!$A$8:$A$207,A84,'Instrument days'!$B$8:$B$207,B84))</x:f>
      </x:c>
      <x:c r="D84" s="12" t="str">
        <x:f>IF(OR(C84="",C84=0),"n.a.",IF(COUNTIFS('Instrument days'!$A$8:$A$207,A84,'Instrument days'!$B$8:$B$207,B84,'Instrument days'!$O$8:$O$207,"READY")&lt;&gt;C84,"n.a.",SUMIFS('Instrument days'!$G$8:$G$207,'Instrument days'!$A$8:$A$207,A84,'Instrument days'!$B$8:$B$207,B84)))</x:f>
        <x:v>n.a.</x:v>
      </x:c>
      <x:c r="E84" s="12" t="str">
        <x:f>IF(ISNUMBER(D84),SUMIFS('Instrument days'!$G$8:$G$207,'Instrument days'!$A$8:$A$207,A84,'Instrument days'!$B$8:$B$207,B84,'Instrument days'!$H$8:$H$207,"YES"),"n.a.")</x:f>
        <x:v>n.a.</x:v>
      </x:c>
      <x:c r="F84" s="1" t="str">
        <x:f>IF(OR(C84="",C84=0),"No source rows",IF(ISNUMBER(D84),"Source rows complete","Missing source inputs"))</x:f>
        <x:v>No source rows</x:v>
      </x:c>
      <x:c r="G84" s="1"/>
    </x:row>
    <x:row r="85" ht="25" customHeight="1">
      <x:c r="A85" s="9" t="str">
        <x:f>IF(ISNUMBER($B$4),$B$4+77,"")</x:f>
      </x:c>
      <x:c r="B85" s="1" t="str">
        <x:f>IF($B$5="","",$B$5)</x:f>
      </x:c>
      <x:c r="C85" s="1" t="str">
        <x:f>IF(OR(A85="",B85=""),"",COUNTIFS('Instrument days'!$A$8:$A$207,A85,'Instrument days'!$B$8:$B$207,B85))</x:f>
      </x:c>
      <x:c r="D85" s="12" t="str">
        <x:f>IF(OR(C85="",C85=0),"n.a.",IF(COUNTIFS('Instrument days'!$A$8:$A$207,A85,'Instrument days'!$B$8:$B$207,B85,'Instrument days'!$O$8:$O$207,"READY")&lt;&gt;C85,"n.a.",SUMIFS('Instrument days'!$G$8:$G$207,'Instrument days'!$A$8:$A$207,A85,'Instrument days'!$B$8:$B$207,B85)))</x:f>
        <x:v>n.a.</x:v>
      </x:c>
      <x:c r="E85" s="12" t="str">
        <x:f>IF(ISNUMBER(D85),SUMIFS('Instrument days'!$G$8:$G$207,'Instrument days'!$A$8:$A$207,A85,'Instrument days'!$B$8:$B$207,B85,'Instrument days'!$H$8:$H$207,"YES"),"n.a.")</x:f>
        <x:v>n.a.</x:v>
      </x:c>
      <x:c r="F85" s="1" t="str">
        <x:f>IF(OR(C85="",C85=0),"No source rows",IF(ISNUMBER(D85),"Source rows complete","Missing source inputs"))</x:f>
        <x:v>No source rows</x:v>
      </x:c>
      <x:c r="G85" s="1"/>
    </x:row>
    <x:row r="86" ht="25" customHeight="1">
      <x:c r="A86" s="9" t="str">
        <x:f>IF(ISNUMBER($B$4),$B$4+78,"")</x:f>
      </x:c>
      <x:c r="B86" s="1" t="str">
        <x:f>IF($B$5="","",$B$5)</x:f>
      </x:c>
      <x:c r="C86" s="1" t="str">
        <x:f>IF(OR(A86="",B86=""),"",COUNTIFS('Instrument days'!$A$8:$A$207,A86,'Instrument days'!$B$8:$B$207,B86))</x:f>
      </x:c>
      <x:c r="D86" s="12" t="str">
        <x:f>IF(OR(C86="",C86=0),"n.a.",IF(COUNTIFS('Instrument days'!$A$8:$A$207,A86,'Instrument days'!$B$8:$B$207,B86,'Instrument days'!$O$8:$O$207,"READY")&lt;&gt;C86,"n.a.",SUMIFS('Instrument days'!$G$8:$G$207,'Instrument days'!$A$8:$A$207,A86,'Instrument days'!$B$8:$B$207,B86)))</x:f>
        <x:v>n.a.</x:v>
      </x:c>
      <x:c r="E86" s="12" t="str">
        <x:f>IF(ISNUMBER(D86),SUMIFS('Instrument days'!$G$8:$G$207,'Instrument days'!$A$8:$A$207,A86,'Instrument days'!$B$8:$B$207,B86,'Instrument days'!$H$8:$H$207,"YES"),"n.a.")</x:f>
        <x:v>n.a.</x:v>
      </x:c>
      <x:c r="F86" s="1" t="str">
        <x:f>IF(OR(C86="",C86=0),"No source rows",IF(ISNUMBER(D86),"Source rows complete","Missing source inputs"))</x:f>
        <x:v>No source rows</x:v>
      </x:c>
      <x:c r="G86" s="1"/>
    </x:row>
    <x:row r="87" ht="25" customHeight="1">
      <x:c r="A87" s="9" t="str">
        <x:f>IF(ISNUMBER($B$4),$B$4+79,"")</x:f>
      </x:c>
      <x:c r="B87" s="1" t="str">
        <x:f>IF($B$5="","",$B$5)</x:f>
      </x:c>
      <x:c r="C87" s="1" t="str">
        <x:f>IF(OR(A87="",B87=""),"",COUNTIFS('Instrument days'!$A$8:$A$207,A87,'Instrument days'!$B$8:$B$207,B87))</x:f>
      </x:c>
      <x:c r="D87" s="12" t="str">
        <x:f>IF(OR(C87="",C87=0),"n.a.",IF(COUNTIFS('Instrument days'!$A$8:$A$207,A87,'Instrument days'!$B$8:$B$207,B87,'Instrument days'!$O$8:$O$207,"READY")&lt;&gt;C87,"n.a.",SUMIFS('Instrument days'!$G$8:$G$207,'Instrument days'!$A$8:$A$207,A87,'Instrument days'!$B$8:$B$207,B87)))</x:f>
        <x:v>n.a.</x:v>
      </x:c>
      <x:c r="E87" s="12" t="str">
        <x:f>IF(ISNUMBER(D87),SUMIFS('Instrument days'!$G$8:$G$207,'Instrument days'!$A$8:$A$207,A87,'Instrument days'!$B$8:$B$207,B87,'Instrument days'!$H$8:$H$207,"YES"),"n.a.")</x:f>
        <x:v>n.a.</x:v>
      </x:c>
      <x:c r="F87" s="1" t="str">
        <x:f>IF(OR(C87="",C87=0),"No source rows",IF(ISNUMBER(D87),"Source rows complete","Missing source inputs"))</x:f>
        <x:v>No source rows</x:v>
      </x:c>
      <x:c r="G87" s="1"/>
    </x:row>
    <x:row r="88" ht="25" customHeight="1">
      <x:c r="A88" s="9" t="str">
        <x:f>IF(ISNUMBER($B$4),$B$4+80,"")</x:f>
      </x:c>
      <x:c r="B88" s="1" t="str">
        <x:f>IF($B$5="","",$B$5)</x:f>
      </x:c>
      <x:c r="C88" s="1" t="str">
        <x:f>IF(OR(A88="",B88=""),"",COUNTIFS('Instrument days'!$A$8:$A$207,A88,'Instrument days'!$B$8:$B$207,B88))</x:f>
      </x:c>
      <x:c r="D88" s="12" t="str">
        <x:f>IF(OR(C88="",C88=0),"n.a.",IF(COUNTIFS('Instrument days'!$A$8:$A$207,A88,'Instrument days'!$B$8:$B$207,B88,'Instrument days'!$O$8:$O$207,"READY")&lt;&gt;C88,"n.a.",SUMIFS('Instrument days'!$G$8:$G$207,'Instrument days'!$A$8:$A$207,A88,'Instrument days'!$B$8:$B$207,B88)))</x:f>
        <x:v>n.a.</x:v>
      </x:c>
      <x:c r="E88" s="12" t="str">
        <x:f>IF(ISNUMBER(D88),SUMIFS('Instrument days'!$G$8:$G$207,'Instrument days'!$A$8:$A$207,A88,'Instrument days'!$B$8:$B$207,B88,'Instrument days'!$H$8:$H$207,"YES"),"n.a.")</x:f>
        <x:v>n.a.</x:v>
      </x:c>
      <x:c r="F88" s="1" t="str">
        <x:f>IF(OR(C88="",C88=0),"No source rows",IF(ISNUMBER(D88),"Source rows complete","Missing source inputs"))</x:f>
        <x:v>No source rows</x:v>
      </x:c>
      <x:c r="G88" s="1"/>
    </x:row>
    <x:row r="89" ht="25" customHeight="1">
      <x:c r="A89" s="9" t="str">
        <x:f>IF(ISNUMBER($B$4),$B$4+81,"")</x:f>
      </x:c>
      <x:c r="B89" s="1" t="str">
        <x:f>IF($B$5="","",$B$5)</x:f>
      </x:c>
      <x:c r="C89" s="1" t="str">
        <x:f>IF(OR(A89="",B89=""),"",COUNTIFS('Instrument days'!$A$8:$A$207,A89,'Instrument days'!$B$8:$B$207,B89))</x:f>
      </x:c>
      <x:c r="D89" s="12" t="str">
        <x:f>IF(OR(C89="",C89=0),"n.a.",IF(COUNTIFS('Instrument days'!$A$8:$A$207,A89,'Instrument days'!$B$8:$B$207,B89,'Instrument days'!$O$8:$O$207,"READY")&lt;&gt;C89,"n.a.",SUMIFS('Instrument days'!$G$8:$G$207,'Instrument days'!$A$8:$A$207,A89,'Instrument days'!$B$8:$B$207,B89)))</x:f>
        <x:v>n.a.</x:v>
      </x:c>
      <x:c r="E89" s="12" t="str">
        <x:f>IF(ISNUMBER(D89),SUMIFS('Instrument days'!$G$8:$G$207,'Instrument days'!$A$8:$A$207,A89,'Instrument days'!$B$8:$B$207,B89,'Instrument days'!$H$8:$H$207,"YES"),"n.a.")</x:f>
        <x:v>n.a.</x:v>
      </x:c>
      <x:c r="F89" s="1" t="str">
        <x:f>IF(OR(C89="",C89=0),"No source rows",IF(ISNUMBER(D89),"Source rows complete","Missing source inputs"))</x:f>
        <x:v>No source rows</x:v>
      </x:c>
      <x:c r="G89" s="1"/>
    </x:row>
    <x:row r="90" ht="25" customHeight="1">
      <x:c r="A90" s="9" t="str">
        <x:f>IF(ISNUMBER($B$4),$B$4+82,"")</x:f>
      </x:c>
      <x:c r="B90" s="1" t="str">
        <x:f>IF($B$5="","",$B$5)</x:f>
      </x:c>
      <x:c r="C90" s="1" t="str">
        <x:f>IF(OR(A90="",B90=""),"",COUNTIFS('Instrument days'!$A$8:$A$207,A90,'Instrument days'!$B$8:$B$207,B90))</x:f>
      </x:c>
      <x:c r="D90" s="12" t="str">
        <x:f>IF(OR(C90="",C90=0),"n.a.",IF(COUNTIFS('Instrument days'!$A$8:$A$207,A90,'Instrument days'!$B$8:$B$207,B90,'Instrument days'!$O$8:$O$207,"READY")&lt;&gt;C90,"n.a.",SUMIFS('Instrument days'!$G$8:$G$207,'Instrument days'!$A$8:$A$207,A90,'Instrument days'!$B$8:$B$207,B90)))</x:f>
        <x:v>n.a.</x:v>
      </x:c>
      <x:c r="E90" s="12" t="str">
        <x:f>IF(ISNUMBER(D90),SUMIFS('Instrument days'!$G$8:$G$207,'Instrument days'!$A$8:$A$207,A90,'Instrument days'!$B$8:$B$207,B90,'Instrument days'!$H$8:$H$207,"YES"),"n.a.")</x:f>
        <x:v>n.a.</x:v>
      </x:c>
      <x:c r="F90" s="1" t="str">
        <x:f>IF(OR(C90="",C90=0),"No source rows",IF(ISNUMBER(D90),"Source rows complete","Missing source inputs"))</x:f>
        <x:v>No source rows</x:v>
      </x:c>
      <x:c r="G90" s="1"/>
    </x:row>
    <x:row r="91" ht="25" customHeight="1">
      <x:c r="A91" s="9" t="str">
        <x:f>IF(ISNUMBER($B$4),$B$4+83,"")</x:f>
      </x:c>
      <x:c r="B91" s="1" t="str">
        <x:f>IF($B$5="","",$B$5)</x:f>
      </x:c>
      <x:c r="C91" s="1" t="str">
        <x:f>IF(OR(A91="",B91=""),"",COUNTIFS('Instrument days'!$A$8:$A$207,A91,'Instrument days'!$B$8:$B$207,B91))</x:f>
      </x:c>
      <x:c r="D91" s="12" t="str">
        <x:f>IF(OR(C91="",C91=0),"n.a.",IF(COUNTIFS('Instrument days'!$A$8:$A$207,A91,'Instrument days'!$B$8:$B$207,B91,'Instrument days'!$O$8:$O$207,"READY")&lt;&gt;C91,"n.a.",SUMIFS('Instrument days'!$G$8:$G$207,'Instrument days'!$A$8:$A$207,A91,'Instrument days'!$B$8:$B$207,B91)))</x:f>
        <x:v>n.a.</x:v>
      </x:c>
      <x:c r="E91" s="12" t="str">
        <x:f>IF(ISNUMBER(D91),SUMIFS('Instrument days'!$G$8:$G$207,'Instrument days'!$A$8:$A$207,A91,'Instrument days'!$B$8:$B$207,B91,'Instrument days'!$H$8:$H$207,"YES"),"n.a.")</x:f>
        <x:v>n.a.</x:v>
      </x:c>
      <x:c r="F91" s="1" t="str">
        <x:f>IF(OR(C91="",C91=0),"No source rows",IF(ISNUMBER(D91),"Source rows complete","Missing source inputs"))</x:f>
        <x:v>No source rows</x:v>
      </x:c>
      <x:c r="G91" s="1"/>
    </x:row>
    <x:row r="92" ht="25" customHeight="1">
      <x:c r="A92" s="9" t="str">
        <x:f>IF(ISNUMBER($B$4),$B$4+84,"")</x:f>
      </x:c>
      <x:c r="B92" s="1" t="str">
        <x:f>IF($B$5="","",$B$5)</x:f>
      </x:c>
      <x:c r="C92" s="1" t="str">
        <x:f>IF(OR(A92="",B92=""),"",COUNTIFS('Instrument days'!$A$8:$A$207,A92,'Instrument days'!$B$8:$B$207,B92))</x:f>
      </x:c>
      <x:c r="D92" s="12" t="str">
        <x:f>IF(OR(C92="",C92=0),"n.a.",IF(COUNTIFS('Instrument days'!$A$8:$A$207,A92,'Instrument days'!$B$8:$B$207,B92,'Instrument days'!$O$8:$O$207,"READY")&lt;&gt;C92,"n.a.",SUMIFS('Instrument days'!$G$8:$G$207,'Instrument days'!$A$8:$A$207,A92,'Instrument days'!$B$8:$B$207,B92)))</x:f>
        <x:v>n.a.</x:v>
      </x:c>
      <x:c r="E92" s="12" t="str">
        <x:f>IF(ISNUMBER(D92),SUMIFS('Instrument days'!$G$8:$G$207,'Instrument days'!$A$8:$A$207,A92,'Instrument days'!$B$8:$B$207,B92,'Instrument days'!$H$8:$H$207,"YES"),"n.a.")</x:f>
        <x:v>n.a.</x:v>
      </x:c>
      <x:c r="F92" s="1" t="str">
        <x:f>IF(OR(C92="",C92=0),"No source rows",IF(ISNUMBER(D92),"Source rows complete","Missing source inputs"))</x:f>
        <x:v>No source rows</x:v>
      </x:c>
      <x:c r="G92" s="1"/>
    </x:row>
    <x:row r="93" ht="25" customHeight="1">
      <x:c r="A93" s="9" t="str">
        <x:f>IF(ISNUMBER($B$4),$B$4+85,"")</x:f>
      </x:c>
      <x:c r="B93" s="1" t="str">
        <x:f>IF($B$5="","",$B$5)</x:f>
      </x:c>
      <x:c r="C93" s="1" t="str">
        <x:f>IF(OR(A93="",B93=""),"",COUNTIFS('Instrument days'!$A$8:$A$207,A93,'Instrument days'!$B$8:$B$207,B93))</x:f>
      </x:c>
      <x:c r="D93" s="12" t="str">
        <x:f>IF(OR(C93="",C93=0),"n.a.",IF(COUNTIFS('Instrument days'!$A$8:$A$207,A93,'Instrument days'!$B$8:$B$207,B93,'Instrument days'!$O$8:$O$207,"READY")&lt;&gt;C93,"n.a.",SUMIFS('Instrument days'!$G$8:$G$207,'Instrument days'!$A$8:$A$207,A93,'Instrument days'!$B$8:$B$207,B93)))</x:f>
        <x:v>n.a.</x:v>
      </x:c>
      <x:c r="E93" s="12" t="str">
        <x:f>IF(ISNUMBER(D93),SUMIFS('Instrument days'!$G$8:$G$207,'Instrument days'!$A$8:$A$207,A93,'Instrument days'!$B$8:$B$207,B93,'Instrument days'!$H$8:$H$207,"YES"),"n.a.")</x:f>
        <x:v>n.a.</x:v>
      </x:c>
      <x:c r="F93" s="1" t="str">
        <x:f>IF(OR(C93="",C93=0),"No source rows",IF(ISNUMBER(D93),"Source rows complete","Missing source inputs"))</x:f>
        <x:v>No source rows</x:v>
      </x:c>
      <x:c r="G93" s="1"/>
    </x:row>
    <x:row r="94" ht="25" customHeight="1">
      <x:c r="A94" s="9" t="str">
        <x:f>IF(ISNUMBER($B$4),$B$4+86,"")</x:f>
      </x:c>
      <x:c r="B94" s="1" t="str">
        <x:f>IF($B$5="","",$B$5)</x:f>
      </x:c>
      <x:c r="C94" s="1" t="str">
        <x:f>IF(OR(A94="",B94=""),"",COUNTIFS('Instrument days'!$A$8:$A$207,A94,'Instrument days'!$B$8:$B$207,B94))</x:f>
      </x:c>
      <x:c r="D94" s="12" t="str">
        <x:f>IF(OR(C94="",C94=0),"n.a.",IF(COUNTIFS('Instrument days'!$A$8:$A$207,A94,'Instrument days'!$B$8:$B$207,B94,'Instrument days'!$O$8:$O$207,"READY")&lt;&gt;C94,"n.a.",SUMIFS('Instrument days'!$G$8:$G$207,'Instrument days'!$A$8:$A$207,A94,'Instrument days'!$B$8:$B$207,B94)))</x:f>
        <x:v>n.a.</x:v>
      </x:c>
      <x:c r="E94" s="12" t="str">
        <x:f>IF(ISNUMBER(D94),SUMIFS('Instrument days'!$G$8:$G$207,'Instrument days'!$A$8:$A$207,A94,'Instrument days'!$B$8:$B$207,B94,'Instrument days'!$H$8:$H$207,"YES"),"n.a.")</x:f>
        <x:v>n.a.</x:v>
      </x:c>
      <x:c r="F94" s="1" t="str">
        <x:f>IF(OR(C94="",C94=0),"No source rows",IF(ISNUMBER(D94),"Source rows complete","Missing source inputs"))</x:f>
        <x:v>No source rows</x:v>
      </x:c>
      <x:c r="G94" s="1"/>
    </x:row>
    <x:row r="95" ht="25" customHeight="1">
      <x:c r="A95" s="9" t="str">
        <x:f>IF(ISNUMBER($B$4),$B$4+87,"")</x:f>
      </x:c>
      <x:c r="B95" s="1" t="str">
        <x:f>IF($B$5="","",$B$5)</x:f>
      </x:c>
      <x:c r="C95" s="1" t="str">
        <x:f>IF(OR(A95="",B95=""),"",COUNTIFS('Instrument days'!$A$8:$A$207,A95,'Instrument days'!$B$8:$B$207,B95))</x:f>
      </x:c>
      <x:c r="D95" s="12" t="str">
        <x:f>IF(OR(C95="",C95=0),"n.a.",IF(COUNTIFS('Instrument days'!$A$8:$A$207,A95,'Instrument days'!$B$8:$B$207,B95,'Instrument days'!$O$8:$O$207,"READY")&lt;&gt;C95,"n.a.",SUMIFS('Instrument days'!$G$8:$G$207,'Instrument days'!$A$8:$A$207,A95,'Instrument days'!$B$8:$B$207,B95)))</x:f>
        <x:v>n.a.</x:v>
      </x:c>
      <x:c r="E95" s="12" t="str">
        <x:f>IF(ISNUMBER(D95),SUMIFS('Instrument days'!$G$8:$G$207,'Instrument days'!$A$8:$A$207,A95,'Instrument days'!$B$8:$B$207,B95,'Instrument days'!$H$8:$H$207,"YES"),"n.a.")</x:f>
        <x:v>n.a.</x:v>
      </x:c>
      <x:c r="F95" s="1" t="str">
        <x:f>IF(OR(C95="",C95=0),"No source rows",IF(ISNUMBER(D95),"Source rows complete","Missing source inputs"))</x:f>
        <x:v>No source rows</x:v>
      </x:c>
      <x:c r="G95" s="1"/>
    </x:row>
    <x:row r="96" ht="25" customHeight="1">
      <x:c r="A96" s="9" t="str">
        <x:f>IF(ISNUMBER($B$4),$B$4+88,"")</x:f>
      </x:c>
      <x:c r="B96" s="1" t="str">
        <x:f>IF($B$5="","",$B$5)</x:f>
      </x:c>
      <x:c r="C96" s="1" t="str">
        <x:f>IF(OR(A96="",B96=""),"",COUNTIFS('Instrument days'!$A$8:$A$207,A96,'Instrument days'!$B$8:$B$207,B96))</x:f>
      </x:c>
      <x:c r="D96" s="12" t="str">
        <x:f>IF(OR(C96="",C96=0),"n.a.",IF(COUNTIFS('Instrument days'!$A$8:$A$207,A96,'Instrument days'!$B$8:$B$207,B96,'Instrument days'!$O$8:$O$207,"READY")&lt;&gt;C96,"n.a.",SUMIFS('Instrument days'!$G$8:$G$207,'Instrument days'!$A$8:$A$207,A96,'Instrument days'!$B$8:$B$207,B96)))</x:f>
        <x:v>n.a.</x:v>
      </x:c>
      <x:c r="E96" s="12" t="str">
        <x:f>IF(ISNUMBER(D96),SUMIFS('Instrument days'!$G$8:$G$207,'Instrument days'!$A$8:$A$207,A96,'Instrument days'!$B$8:$B$207,B96,'Instrument days'!$H$8:$H$207,"YES"),"n.a.")</x:f>
        <x:v>n.a.</x:v>
      </x:c>
      <x:c r="F96" s="1" t="str">
        <x:f>IF(OR(C96="",C96=0),"No source rows",IF(ISNUMBER(D96),"Source rows complete","Missing source inputs"))</x:f>
        <x:v>No source rows</x:v>
      </x:c>
      <x:c r="G96" s="1"/>
    </x:row>
    <x:row r="97" ht="25" customHeight="1">
      <x:c r="A97" s="9" t="str">
        <x:f>IF(ISNUMBER($B$4),$B$4+89,"")</x:f>
      </x:c>
      <x:c r="B97" s="1" t="str">
        <x:f>IF($B$5="","",$B$5)</x:f>
      </x:c>
      <x:c r="C97" s="1" t="str">
        <x:f>IF(OR(A97="",B97=""),"",COUNTIFS('Instrument days'!$A$8:$A$207,A97,'Instrument days'!$B$8:$B$207,B97))</x:f>
      </x:c>
      <x:c r="D97" s="12" t="str">
        <x:f>IF(OR(C97="",C97=0),"n.a.",IF(COUNTIFS('Instrument days'!$A$8:$A$207,A97,'Instrument days'!$B$8:$B$207,B97,'Instrument days'!$O$8:$O$207,"READY")&lt;&gt;C97,"n.a.",SUMIFS('Instrument days'!$G$8:$G$207,'Instrument days'!$A$8:$A$207,A97,'Instrument days'!$B$8:$B$207,B97)))</x:f>
        <x:v>n.a.</x:v>
      </x:c>
      <x:c r="E97" s="12" t="str">
        <x:f>IF(ISNUMBER(D97),SUMIFS('Instrument days'!$G$8:$G$207,'Instrument days'!$A$8:$A$207,A97,'Instrument days'!$B$8:$B$207,B97,'Instrument days'!$H$8:$H$207,"YES"),"n.a.")</x:f>
        <x:v>n.a.</x:v>
      </x:c>
      <x:c r="F97" s="1" t="str">
        <x:f>IF(OR(C97="",C97=0),"No source rows",IF(ISNUMBER(D97),"Source rows complete","Missing source inputs"))</x:f>
        <x:v>No source rows</x:v>
      </x:c>
      <x:c r="G97" s="1"/>
    </x:row>
    <x:row r="98" ht="25" customHeight="1">
      <x:c r="A98" s="9" t="str">
        <x:f>IF(ISNUMBER($B$4),$B$4+90,"")</x:f>
      </x:c>
      <x:c r="B98" s="1" t="str">
        <x:f>IF($B$5="","",$B$5)</x:f>
      </x:c>
      <x:c r="C98" s="1" t="str">
        <x:f>IF(OR(A98="",B98=""),"",COUNTIFS('Instrument days'!$A$8:$A$207,A98,'Instrument days'!$B$8:$B$207,B98))</x:f>
      </x:c>
      <x:c r="D98" s="12" t="str">
        <x:f>IF(OR(C98="",C98=0),"n.a.",IF(COUNTIFS('Instrument days'!$A$8:$A$207,A98,'Instrument days'!$B$8:$B$207,B98,'Instrument days'!$O$8:$O$207,"READY")&lt;&gt;C98,"n.a.",SUMIFS('Instrument days'!$G$8:$G$207,'Instrument days'!$A$8:$A$207,A98,'Instrument days'!$B$8:$B$207,B98)))</x:f>
        <x:v>n.a.</x:v>
      </x:c>
      <x:c r="E98" s="12" t="str">
        <x:f>IF(ISNUMBER(D98),SUMIFS('Instrument days'!$G$8:$G$207,'Instrument days'!$A$8:$A$207,A98,'Instrument days'!$B$8:$B$207,B98,'Instrument days'!$H$8:$H$207,"YES"),"n.a.")</x:f>
        <x:v>n.a.</x:v>
      </x:c>
      <x:c r="F98" s="1" t="str">
        <x:f>IF(OR(C98="",C98=0),"No source rows",IF(ISNUMBER(D98),"Source rows complete","Missing source inputs"))</x:f>
        <x:v>No source rows</x:v>
      </x:c>
      <x:c r="G98" s="1"/>
    </x:row>
    <x:row r="99" ht="25" customHeight="1">
      <x:c r="A99" s="9" t="str">
        <x:f>IF(ISNUMBER($B$4),$B$4+91,"")</x:f>
      </x:c>
      <x:c r="B99" s="1" t="str">
        <x:f>IF($B$5="","",$B$5)</x:f>
      </x:c>
      <x:c r="C99" s="1" t="str">
        <x:f>IF(OR(A99="",B99=""),"",COUNTIFS('Instrument days'!$A$8:$A$207,A99,'Instrument days'!$B$8:$B$207,B99))</x:f>
      </x:c>
      <x:c r="D99" s="12" t="str">
        <x:f>IF(OR(C99="",C99=0),"n.a.",IF(COUNTIFS('Instrument days'!$A$8:$A$207,A99,'Instrument days'!$B$8:$B$207,B99,'Instrument days'!$O$8:$O$207,"READY")&lt;&gt;C99,"n.a.",SUMIFS('Instrument days'!$G$8:$G$207,'Instrument days'!$A$8:$A$207,A99,'Instrument days'!$B$8:$B$207,B99)))</x:f>
        <x:v>n.a.</x:v>
      </x:c>
      <x:c r="E99" s="12" t="str">
        <x:f>IF(ISNUMBER(D99),SUMIFS('Instrument days'!$G$8:$G$207,'Instrument days'!$A$8:$A$207,A99,'Instrument days'!$B$8:$B$207,B99,'Instrument days'!$H$8:$H$207,"YES"),"n.a.")</x:f>
        <x:v>n.a.</x:v>
      </x:c>
      <x:c r="F99" s="1" t="str">
        <x:f>IF(OR(C99="",C99=0),"No source rows",IF(ISNUMBER(D99),"Source rows complete","Missing source inputs"))</x:f>
        <x:v>No source rows</x:v>
      </x:c>
      <x:c r="G99" s="1"/>
    </x:row>
    <x:row r="100" ht="25" customHeight="1">
      <x:c r="A100" s="9" t="str">
        <x:f>IF(ISNUMBER($B$4),$B$4+92,"")</x:f>
      </x:c>
      <x:c r="B100" s="1" t="str">
        <x:f>IF($B$5="","",$B$5)</x:f>
      </x:c>
      <x:c r="C100" s="1" t="str">
        <x:f>IF(OR(A100="",B100=""),"",COUNTIFS('Instrument days'!$A$8:$A$207,A100,'Instrument days'!$B$8:$B$207,B100))</x:f>
      </x:c>
      <x:c r="D100" s="12" t="str">
        <x:f>IF(OR(C100="",C100=0),"n.a.",IF(COUNTIFS('Instrument days'!$A$8:$A$207,A100,'Instrument days'!$B$8:$B$207,B100,'Instrument days'!$O$8:$O$207,"READY")&lt;&gt;C100,"n.a.",SUMIFS('Instrument days'!$G$8:$G$207,'Instrument days'!$A$8:$A$207,A100,'Instrument days'!$B$8:$B$207,B100)))</x:f>
        <x:v>n.a.</x:v>
      </x:c>
      <x:c r="E100" s="12" t="str">
        <x:f>IF(ISNUMBER(D100),SUMIFS('Instrument days'!$G$8:$G$207,'Instrument days'!$A$8:$A$207,A100,'Instrument days'!$B$8:$B$207,B100,'Instrument days'!$H$8:$H$207,"YES"),"n.a.")</x:f>
        <x:v>n.a.</x:v>
      </x:c>
      <x:c r="F100" s="1" t="str">
        <x:f>IF(OR(C100="",C100=0),"No source rows",IF(ISNUMBER(D100),"Source rows complete","Missing source inputs"))</x:f>
        <x:v>No source rows</x:v>
      </x:c>
      <x:c r="G100" s="1"/>
    </x:row>
    <x:row r="101" ht="25" customHeight="1">
      <x:c r="A101" s="9" t="str">
        <x:f>IF(ISNUMBER($B$4),$B$4+93,"")</x:f>
      </x:c>
      <x:c r="B101" s="1" t="str">
        <x:f>IF($B$5="","",$B$5)</x:f>
      </x:c>
      <x:c r="C101" s="1" t="str">
        <x:f>IF(OR(A101="",B101=""),"",COUNTIFS('Instrument days'!$A$8:$A$207,A101,'Instrument days'!$B$8:$B$207,B101))</x:f>
      </x:c>
      <x:c r="D101" s="12" t="str">
        <x:f>IF(OR(C101="",C101=0),"n.a.",IF(COUNTIFS('Instrument days'!$A$8:$A$207,A101,'Instrument days'!$B$8:$B$207,B101,'Instrument days'!$O$8:$O$207,"READY")&lt;&gt;C101,"n.a.",SUMIFS('Instrument days'!$G$8:$G$207,'Instrument days'!$A$8:$A$207,A101,'Instrument days'!$B$8:$B$207,B101)))</x:f>
        <x:v>n.a.</x:v>
      </x:c>
      <x:c r="E101" s="12" t="str">
        <x:f>IF(ISNUMBER(D101),SUMIFS('Instrument days'!$G$8:$G$207,'Instrument days'!$A$8:$A$207,A101,'Instrument days'!$B$8:$B$207,B101,'Instrument days'!$H$8:$H$207,"YES"),"n.a.")</x:f>
        <x:v>n.a.</x:v>
      </x:c>
      <x:c r="F101" s="1" t="str">
        <x:f>IF(OR(C101="",C101=0),"No source rows",IF(ISNUMBER(D101),"Source rows complete","Missing source inputs"))</x:f>
        <x:v>No source rows</x:v>
      </x:c>
      <x:c r="G101" s="1"/>
    </x:row>
    <x:row r="102" ht="25" customHeight="1">
      <x:c r="A102" s="9" t="str">
        <x:f>IF(ISNUMBER($B$4),$B$4+94,"")</x:f>
      </x:c>
      <x:c r="B102" s="1" t="str">
        <x:f>IF($B$5="","",$B$5)</x:f>
      </x:c>
      <x:c r="C102" s="1" t="str">
        <x:f>IF(OR(A102="",B102=""),"",COUNTIFS('Instrument days'!$A$8:$A$207,A102,'Instrument days'!$B$8:$B$207,B102))</x:f>
      </x:c>
      <x:c r="D102" s="12" t="str">
        <x:f>IF(OR(C102="",C102=0),"n.a.",IF(COUNTIFS('Instrument days'!$A$8:$A$207,A102,'Instrument days'!$B$8:$B$207,B102,'Instrument days'!$O$8:$O$207,"READY")&lt;&gt;C102,"n.a.",SUMIFS('Instrument days'!$G$8:$G$207,'Instrument days'!$A$8:$A$207,A102,'Instrument days'!$B$8:$B$207,B102)))</x:f>
        <x:v>n.a.</x:v>
      </x:c>
      <x:c r="E102" s="12" t="str">
        <x:f>IF(ISNUMBER(D102),SUMIFS('Instrument days'!$G$8:$G$207,'Instrument days'!$A$8:$A$207,A102,'Instrument days'!$B$8:$B$207,B102,'Instrument days'!$H$8:$H$207,"YES"),"n.a.")</x:f>
        <x:v>n.a.</x:v>
      </x:c>
      <x:c r="F102" s="1" t="str">
        <x:f>IF(OR(C102="",C102=0),"No source rows",IF(ISNUMBER(D102),"Source rows complete","Missing source inputs"))</x:f>
        <x:v>No source rows</x:v>
      </x:c>
      <x:c r="G102" s="1"/>
    </x:row>
    <x:row r="103" ht="25" customHeight="1">
      <x:c r="A103" s="9" t="str">
        <x:f>IF(ISNUMBER($B$4),$B$4+95,"")</x:f>
      </x:c>
      <x:c r="B103" s="1" t="str">
        <x:f>IF($B$5="","",$B$5)</x:f>
      </x:c>
      <x:c r="C103" s="1" t="str">
        <x:f>IF(OR(A103="",B103=""),"",COUNTIFS('Instrument days'!$A$8:$A$207,A103,'Instrument days'!$B$8:$B$207,B103))</x:f>
      </x:c>
      <x:c r="D103" s="12" t="str">
        <x:f>IF(OR(C103="",C103=0),"n.a.",IF(COUNTIFS('Instrument days'!$A$8:$A$207,A103,'Instrument days'!$B$8:$B$207,B103,'Instrument days'!$O$8:$O$207,"READY")&lt;&gt;C103,"n.a.",SUMIFS('Instrument days'!$G$8:$G$207,'Instrument days'!$A$8:$A$207,A103,'Instrument days'!$B$8:$B$207,B103)))</x:f>
        <x:v>n.a.</x:v>
      </x:c>
      <x:c r="E103" s="12" t="str">
        <x:f>IF(ISNUMBER(D103),SUMIFS('Instrument days'!$G$8:$G$207,'Instrument days'!$A$8:$A$207,A103,'Instrument days'!$B$8:$B$207,B103,'Instrument days'!$H$8:$H$207,"YES"),"n.a.")</x:f>
        <x:v>n.a.</x:v>
      </x:c>
      <x:c r="F103" s="1" t="str">
        <x:f>IF(OR(C103="",C103=0),"No source rows",IF(ISNUMBER(D103),"Source rows complete","Missing source inputs"))</x:f>
        <x:v>No source rows</x:v>
      </x:c>
      <x:c r="G103" s="1"/>
    </x:row>
    <x:row r="104" ht="25" customHeight="1">
      <x:c r="A104" s="9" t="str">
        <x:f>IF(ISNUMBER($B$4),$B$4+96,"")</x:f>
      </x:c>
      <x:c r="B104" s="1" t="str">
        <x:f>IF($B$5="","",$B$5)</x:f>
      </x:c>
      <x:c r="C104" s="1" t="str">
        <x:f>IF(OR(A104="",B104=""),"",COUNTIFS('Instrument days'!$A$8:$A$207,A104,'Instrument days'!$B$8:$B$207,B104))</x:f>
      </x:c>
      <x:c r="D104" s="12" t="str">
        <x:f>IF(OR(C104="",C104=0),"n.a.",IF(COUNTIFS('Instrument days'!$A$8:$A$207,A104,'Instrument days'!$B$8:$B$207,B104,'Instrument days'!$O$8:$O$207,"READY")&lt;&gt;C104,"n.a.",SUMIFS('Instrument days'!$G$8:$G$207,'Instrument days'!$A$8:$A$207,A104,'Instrument days'!$B$8:$B$207,B104)))</x:f>
        <x:v>n.a.</x:v>
      </x:c>
      <x:c r="E104" s="12" t="str">
        <x:f>IF(ISNUMBER(D104),SUMIFS('Instrument days'!$G$8:$G$207,'Instrument days'!$A$8:$A$207,A104,'Instrument days'!$B$8:$B$207,B104,'Instrument days'!$H$8:$H$207,"YES"),"n.a.")</x:f>
        <x:v>n.a.</x:v>
      </x:c>
      <x:c r="F104" s="1" t="str">
        <x:f>IF(OR(C104="",C104=0),"No source rows",IF(ISNUMBER(D104),"Source rows complete","Missing source inputs"))</x:f>
        <x:v>No source rows</x:v>
      </x:c>
      <x:c r="G104" s="1"/>
    </x:row>
    <x:row r="105" ht="25" customHeight="1">
      <x:c r="A105" s="9" t="str">
        <x:f>IF(ISNUMBER($B$4),$B$4+97,"")</x:f>
      </x:c>
      <x:c r="B105" s="1" t="str">
        <x:f>IF($B$5="","",$B$5)</x:f>
      </x:c>
      <x:c r="C105" s="1" t="str">
        <x:f>IF(OR(A105="",B105=""),"",COUNTIFS('Instrument days'!$A$8:$A$207,A105,'Instrument days'!$B$8:$B$207,B105))</x:f>
      </x:c>
      <x:c r="D105" s="12" t="str">
        <x:f>IF(OR(C105="",C105=0),"n.a.",IF(COUNTIFS('Instrument days'!$A$8:$A$207,A105,'Instrument days'!$B$8:$B$207,B105,'Instrument days'!$O$8:$O$207,"READY")&lt;&gt;C105,"n.a.",SUMIFS('Instrument days'!$G$8:$G$207,'Instrument days'!$A$8:$A$207,A105,'Instrument days'!$B$8:$B$207,B105)))</x:f>
        <x:v>n.a.</x:v>
      </x:c>
      <x:c r="E105" s="12" t="str">
        <x:f>IF(ISNUMBER(D105),SUMIFS('Instrument days'!$G$8:$G$207,'Instrument days'!$A$8:$A$207,A105,'Instrument days'!$B$8:$B$207,B105,'Instrument days'!$H$8:$H$207,"YES"),"n.a.")</x:f>
        <x:v>n.a.</x:v>
      </x:c>
      <x:c r="F105" s="1" t="str">
        <x:f>IF(OR(C105="",C105=0),"No source rows",IF(ISNUMBER(D105),"Source rows complete","Missing source inputs"))</x:f>
        <x:v>No source rows</x:v>
      </x:c>
      <x:c r="G105" s="1"/>
    </x:row>
    <x:row r="106" ht="25" customHeight="1">
      <x:c r="A106" s="9" t="str">
        <x:f>IF(ISNUMBER($B$4),$B$4+98,"")</x:f>
      </x:c>
      <x:c r="B106" s="1" t="str">
        <x:f>IF($B$5="","",$B$5)</x:f>
      </x:c>
      <x:c r="C106" s="1" t="str">
        <x:f>IF(OR(A106="",B106=""),"",COUNTIFS('Instrument days'!$A$8:$A$207,A106,'Instrument days'!$B$8:$B$207,B106))</x:f>
      </x:c>
      <x:c r="D106" s="12" t="str">
        <x:f>IF(OR(C106="",C106=0),"n.a.",IF(COUNTIFS('Instrument days'!$A$8:$A$207,A106,'Instrument days'!$B$8:$B$207,B106,'Instrument days'!$O$8:$O$207,"READY")&lt;&gt;C106,"n.a.",SUMIFS('Instrument days'!$G$8:$G$207,'Instrument days'!$A$8:$A$207,A106,'Instrument days'!$B$8:$B$207,B106)))</x:f>
        <x:v>n.a.</x:v>
      </x:c>
      <x:c r="E106" s="12" t="str">
        <x:f>IF(ISNUMBER(D106),SUMIFS('Instrument days'!$G$8:$G$207,'Instrument days'!$A$8:$A$207,A106,'Instrument days'!$B$8:$B$207,B106,'Instrument days'!$H$8:$H$207,"YES"),"n.a.")</x:f>
        <x:v>n.a.</x:v>
      </x:c>
      <x:c r="F106" s="1" t="str">
        <x:f>IF(OR(C106="",C106=0),"No source rows",IF(ISNUMBER(D106),"Source rows complete","Missing source inputs"))</x:f>
        <x:v>No source rows</x:v>
      </x:c>
      <x:c r="G106" s="1"/>
    </x:row>
    <x:row r="107" ht="25" customHeight="1">
      <x:c r="A107" s="9" t="str">
        <x:f>IF(ISNUMBER($B$4),$B$4+99,"")</x:f>
      </x:c>
      <x:c r="B107" s="1" t="str">
        <x:f>IF($B$5="","",$B$5)</x:f>
      </x:c>
      <x:c r="C107" s="1" t="str">
        <x:f>IF(OR(A107="",B107=""),"",COUNTIFS('Instrument days'!$A$8:$A$207,A107,'Instrument days'!$B$8:$B$207,B107))</x:f>
      </x:c>
      <x:c r="D107" s="12" t="str">
        <x:f>IF(OR(C107="",C107=0),"n.a.",IF(COUNTIFS('Instrument days'!$A$8:$A$207,A107,'Instrument days'!$B$8:$B$207,B107,'Instrument days'!$O$8:$O$207,"READY")&lt;&gt;C107,"n.a.",SUMIFS('Instrument days'!$G$8:$G$207,'Instrument days'!$A$8:$A$207,A107,'Instrument days'!$B$8:$B$207,B107)))</x:f>
        <x:v>n.a.</x:v>
      </x:c>
      <x:c r="E107" s="12" t="str">
        <x:f>IF(ISNUMBER(D107),SUMIFS('Instrument days'!$G$8:$G$207,'Instrument days'!$A$8:$A$207,A107,'Instrument days'!$B$8:$B$207,B107,'Instrument days'!$H$8:$H$207,"YES"),"n.a.")</x:f>
        <x:v>n.a.</x:v>
      </x:c>
      <x:c r="F107" s="1" t="str">
        <x:f>IF(OR(C107="",C107=0),"No source rows",IF(ISNUMBER(D107),"Source rows complete","Missing source inputs"))</x:f>
        <x:v>No source rows</x:v>
      </x:c>
      <x:c r="G107" s="1"/>
    </x:row>
    <x:row r="108" ht="25" customHeight="1">
      <x:c r="A108" s="1"/>
      <x:c r="B108" s="1"/>
      <x:c r="C108" s="1"/>
      <x:c r="D108" s="1"/>
      <x:c r="E108" s="1"/>
      <x:c r="F108" s="1"/>
      <x:c r="G108" s="1"/>
    </x:row>
    <x:row r="109" ht="25" customHeight="1">
      <x:c r="A109" s="1"/>
      <x:c r="B109" s="1"/>
      <x:c r="C109" s="1"/>
      <x:c r="D109" s="1"/>
      <x:c r="E109" s="1"/>
      <x:c r="F109" s="1"/>
      <x:c r="G109" s="1"/>
    </x:row>
    <x:row r="110" ht="25" customHeight="1">
      <x:c r="A110" s="1"/>
      <x:c r="B110" s="1"/>
      <x:c r="C110" s="1"/>
      <x:c r="D110" s="1"/>
      <x:c r="E110" s="1"/>
      <x:c r="F110" s="1"/>
      <x:c r="G11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7" topLeftCell="F8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6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5" customHeight="1">
      <x:c r="A2" s="2" t="str">
        <x:v>Reviewed instrument-days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5" customHeight="1">
      <x:c r="A3" s="3" t="str">
        <x:v>One row per instrument per date. Repeat each outstanding instrument daily; use actual release evidence. Missing bank/cash values stay blank.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42" customHeight="1">
      <x:c r="A7" s="8" t="str">
        <x:v>Date</x:v>
      </x:c>
      <x:c r="B7" s="8" t="str">
        <x:v>Project ID</x:v>
      </x:c>
      <x:c r="C7" s="8" t="str">
        <x:v>Developer ID</x:v>
      </x:c>
      <x:c r="D7" s="8" t="str">
        <x:v>Site ID</x:v>
      </x:c>
      <x:c r="E7" s="8" t="str">
        <x:v>Instrument ID</x:v>
      </x:c>
      <x:c r="F7" s="8" t="str">
        <x:v>Currency</x:v>
      </x:c>
      <x:c r="G7" s="8" t="str">
        <x:v>Face USD</x:v>
      </x:c>
      <x:c r="H7" s="8" t="str">
        <x:v>Bona fide alternative</x:v>
      </x:c>
      <x:c r="I7" s="8" t="str">
        <x:v>Facility usage USD</x:v>
      </x:c>
      <x:c r="J7" s="8" t="str">
        <x:v>Cash collateral USD</x:v>
      </x:c>
      <x:c r="K7" s="8" t="str">
        <x:v>Document version / hash</x:v>
      </x:c>
      <x:c r="L7" s="8" t="str">
        <x:v>Exact source passage</x:v>
      </x:c>
      <x:c r="M7" s="8" t="str">
        <x:v>Release evidence</x:v>
      </x:c>
      <x:c r="N7" s="8" t="str">
        <x:v>Reviewer</x:v>
      </x:c>
      <x:c r="O7" s="8" t="str">
        <x:v>Input readiness</x:v>
      </x:c>
    </x:row>
    <x:row r="8" ht="25" customHeight="1">
      <x:c r="A8" s="11"/>
      <x:c r="B8" s="10"/>
      <x:c r="C8" s="10"/>
      <x:c r="D8" s="10"/>
      <x:c r="E8" s="10"/>
      <x:c r="F8" s="10"/>
      <x:c r="G8" s="14"/>
      <x:c r="H8" s="14"/>
      <x:c r="I8" s="14"/>
      <x:c r="J8" s="14"/>
      <x:c r="K8" s="10"/>
      <x:c r="L8" s="10"/>
      <x:c r="M8" s="10"/>
      <x:c r="N8" s="10"/>
      <x:c r="O8" s="1" t="str">
        <x:f>IF(COUNTA(A8:N8)=0,"",IF(AND(ISNUMBER(A8),B8&lt;&gt;"",C8&lt;&gt;"",D8&lt;&gt;"",E8&lt;&gt;"",F8="USD",ISNUMBER(G8),OR(H8="YES",H8="NO"),K8&lt;&gt;"",L8&lt;&gt;"",N8&lt;&gt;"",COUNTIFS($A$8:$A$207,A8,$B$8:$B$207,B8,$E$8:$E$207,E8)=1),"READY","Resolve missing / duplicate inputs"))</x:f>
      </x:c>
    </x:row>
    <x:row r="9" ht="25" customHeight="1">
      <x:c r="A9" s="11"/>
      <x:c r="B9" s="10"/>
      <x:c r="C9" s="10"/>
      <x:c r="D9" s="10"/>
      <x:c r="E9" s="10"/>
      <x:c r="F9" s="10"/>
      <x:c r="G9" s="14"/>
      <x:c r="H9" s="14"/>
      <x:c r="I9" s="14"/>
      <x:c r="J9" s="14"/>
      <x:c r="K9" s="10"/>
      <x:c r="L9" s="10"/>
      <x:c r="M9" s="10"/>
      <x:c r="N9" s="10"/>
      <x:c r="O9" s="1" t="str">
        <x:f>IF(COUNTA(A9:N9)=0,"",IF(AND(ISNUMBER(A9),B9&lt;&gt;"",C9&lt;&gt;"",D9&lt;&gt;"",E9&lt;&gt;"",F9="USD",ISNUMBER(G9),OR(H9="YES",H9="NO"),K9&lt;&gt;"",L9&lt;&gt;"",N9&lt;&gt;"",COUNTIFS($A$8:$A$207,A9,$B$8:$B$207,B9,$E$8:$E$207,E9)=1),"READY","Resolve missing / duplicate inputs"))</x:f>
      </x:c>
    </x:row>
    <x:row r="10" ht="25" customHeight="1">
      <x:c r="A10" s="11"/>
      <x:c r="B10" s="10"/>
      <x:c r="C10" s="10"/>
      <x:c r="D10" s="10"/>
      <x:c r="E10" s="10"/>
      <x:c r="F10" s="10"/>
      <x:c r="G10" s="14"/>
      <x:c r="H10" s="14"/>
      <x:c r="I10" s="14"/>
      <x:c r="J10" s="14"/>
      <x:c r="K10" s="10"/>
      <x:c r="L10" s="10"/>
      <x:c r="M10" s="10"/>
      <x:c r="N10" s="10"/>
      <x:c r="O10" s="1" t="str">
        <x:f>IF(COUNTA(A10:N10)=0,"",IF(AND(ISNUMBER(A10),B10&lt;&gt;"",C10&lt;&gt;"",D10&lt;&gt;"",E10&lt;&gt;"",F10="USD",ISNUMBER(G10),OR(H10="YES",H10="NO"),K10&lt;&gt;"",L10&lt;&gt;"",N10&lt;&gt;"",COUNTIFS($A$8:$A$207,A10,$B$8:$B$207,B10,$E$8:$E$207,E10)=1),"READY","Resolve missing / duplicate inputs"))</x:f>
      </x:c>
    </x:row>
    <x:row r="11" ht="25" customHeight="1">
      <x:c r="A11" s="11"/>
      <x:c r="B11" s="10"/>
      <x:c r="C11" s="10"/>
      <x:c r="D11" s="10"/>
      <x:c r="E11" s="10"/>
      <x:c r="F11" s="10"/>
      <x:c r="G11" s="14"/>
      <x:c r="H11" s="14"/>
      <x:c r="I11" s="14"/>
      <x:c r="J11" s="14"/>
      <x:c r="K11" s="10"/>
      <x:c r="L11" s="10"/>
      <x:c r="M11" s="10"/>
      <x:c r="N11" s="10"/>
      <x:c r="O11" s="1" t="str">
        <x:f>IF(COUNTA(A11:N11)=0,"",IF(AND(ISNUMBER(A11),B11&lt;&gt;"",C11&lt;&gt;"",D11&lt;&gt;"",E11&lt;&gt;"",F11="USD",ISNUMBER(G11),OR(H11="YES",H11="NO"),K11&lt;&gt;"",L11&lt;&gt;"",N11&lt;&gt;"",COUNTIFS($A$8:$A$207,A11,$B$8:$B$207,B11,$E$8:$E$207,E11)=1),"READY","Resolve missing / duplicate inputs"))</x:f>
      </x:c>
    </x:row>
    <x:row r="12" ht="25" customHeight="1">
      <x:c r="A12" s="11"/>
      <x:c r="B12" s="10"/>
      <x:c r="C12" s="10"/>
      <x:c r="D12" s="10"/>
      <x:c r="E12" s="10"/>
      <x:c r="F12" s="10"/>
      <x:c r="G12" s="14"/>
      <x:c r="H12" s="14"/>
      <x:c r="I12" s="14"/>
      <x:c r="J12" s="14"/>
      <x:c r="K12" s="10"/>
      <x:c r="L12" s="10"/>
      <x:c r="M12" s="10"/>
      <x:c r="N12" s="10"/>
      <x:c r="O12" s="1" t="str">
        <x:f>IF(COUNTA(A12:N12)=0,"",IF(AND(ISNUMBER(A12),B12&lt;&gt;"",C12&lt;&gt;"",D12&lt;&gt;"",E12&lt;&gt;"",F12="USD",ISNUMBER(G12),OR(H12="YES",H12="NO"),K12&lt;&gt;"",L12&lt;&gt;"",N12&lt;&gt;"",COUNTIFS($A$8:$A$207,A12,$B$8:$B$207,B12,$E$8:$E$207,E12)=1),"READY","Resolve missing / duplicate inputs"))</x:f>
      </x:c>
    </x:row>
    <x:row r="13" ht="25" customHeight="1">
      <x:c r="A13" s="11"/>
      <x:c r="B13" s="10"/>
      <x:c r="C13" s="10"/>
      <x:c r="D13" s="10"/>
      <x:c r="E13" s="10"/>
      <x:c r="F13" s="10"/>
      <x:c r="G13" s="14"/>
      <x:c r="H13" s="14"/>
      <x:c r="I13" s="14"/>
      <x:c r="J13" s="14"/>
      <x:c r="K13" s="10"/>
      <x:c r="L13" s="10"/>
      <x:c r="M13" s="10"/>
      <x:c r="N13" s="10"/>
      <x:c r="O13" s="1" t="str">
        <x:f>IF(COUNTA(A13:N13)=0,"",IF(AND(ISNUMBER(A13),B13&lt;&gt;"",C13&lt;&gt;"",D13&lt;&gt;"",E13&lt;&gt;"",F13="USD",ISNUMBER(G13),OR(H13="YES",H13="NO"),K13&lt;&gt;"",L13&lt;&gt;"",N13&lt;&gt;"",COUNTIFS($A$8:$A$207,A13,$B$8:$B$207,B13,$E$8:$E$207,E13)=1),"READY","Resolve missing / duplicate inputs"))</x:f>
      </x:c>
    </x:row>
    <x:row r="14" ht="25" customHeight="1">
      <x:c r="A14" s="11"/>
      <x:c r="B14" s="10"/>
      <x:c r="C14" s="10"/>
      <x:c r="D14" s="10"/>
      <x:c r="E14" s="10"/>
      <x:c r="F14" s="10"/>
      <x:c r="G14" s="14"/>
      <x:c r="H14" s="14"/>
      <x:c r="I14" s="14"/>
      <x:c r="J14" s="14"/>
      <x:c r="K14" s="10"/>
      <x:c r="L14" s="10"/>
      <x:c r="M14" s="10"/>
      <x:c r="N14" s="10"/>
      <x:c r="O14" s="1" t="str">
        <x:f>IF(COUNTA(A14:N14)=0,"",IF(AND(ISNUMBER(A14),B14&lt;&gt;"",C14&lt;&gt;"",D14&lt;&gt;"",E14&lt;&gt;"",F14="USD",ISNUMBER(G14),OR(H14="YES",H14="NO"),K14&lt;&gt;"",L14&lt;&gt;"",N14&lt;&gt;"",COUNTIFS($A$8:$A$207,A14,$B$8:$B$207,B14,$E$8:$E$207,E14)=1),"READY","Resolve missing / duplicate inputs"))</x:f>
      </x:c>
    </x:row>
    <x:row r="15" ht="25" customHeight="1">
      <x:c r="A15" s="11"/>
      <x:c r="B15" s="10"/>
      <x:c r="C15" s="10"/>
      <x:c r="D15" s="10"/>
      <x:c r="E15" s="10"/>
      <x:c r="F15" s="10"/>
      <x:c r="G15" s="14"/>
      <x:c r="H15" s="14"/>
      <x:c r="I15" s="14"/>
      <x:c r="J15" s="14"/>
      <x:c r="K15" s="10"/>
      <x:c r="L15" s="10"/>
      <x:c r="M15" s="10"/>
      <x:c r="N15" s="10"/>
      <x:c r="O15" s="1" t="str">
        <x:f>IF(COUNTA(A15:N15)=0,"",IF(AND(ISNUMBER(A15),B15&lt;&gt;"",C15&lt;&gt;"",D15&lt;&gt;"",E15&lt;&gt;"",F15="USD",ISNUMBER(G15),OR(H15="YES",H15="NO"),K15&lt;&gt;"",L15&lt;&gt;"",N15&lt;&gt;"",COUNTIFS($A$8:$A$207,A15,$B$8:$B$207,B15,$E$8:$E$207,E15)=1),"READY","Resolve missing / duplicate inputs"))</x:f>
      </x:c>
    </x:row>
    <x:row r="16" ht="25" customHeight="1">
      <x:c r="A16" s="11"/>
      <x:c r="B16" s="10"/>
      <x:c r="C16" s="10"/>
      <x:c r="D16" s="10"/>
      <x:c r="E16" s="10"/>
      <x:c r="F16" s="10"/>
      <x:c r="G16" s="14"/>
      <x:c r="H16" s="14"/>
      <x:c r="I16" s="14"/>
      <x:c r="J16" s="14"/>
      <x:c r="K16" s="10"/>
      <x:c r="L16" s="10"/>
      <x:c r="M16" s="10"/>
      <x:c r="N16" s="10"/>
      <x:c r="O16" s="1" t="str">
        <x:f>IF(COUNTA(A16:N16)=0,"",IF(AND(ISNUMBER(A16),B16&lt;&gt;"",C16&lt;&gt;"",D16&lt;&gt;"",E16&lt;&gt;"",F16="USD",ISNUMBER(G16),OR(H16="YES",H16="NO"),K16&lt;&gt;"",L16&lt;&gt;"",N16&lt;&gt;"",COUNTIFS($A$8:$A$207,A16,$B$8:$B$207,B16,$E$8:$E$207,E16)=1),"READY","Resolve missing / duplicate inputs"))</x:f>
      </x:c>
    </x:row>
    <x:row r="17" ht="25" customHeight="1">
      <x:c r="A17" s="11"/>
      <x:c r="B17" s="10"/>
      <x:c r="C17" s="10"/>
      <x:c r="D17" s="10"/>
      <x:c r="E17" s="10"/>
      <x:c r="F17" s="10"/>
      <x:c r="G17" s="14"/>
      <x:c r="H17" s="14"/>
      <x:c r="I17" s="14"/>
      <x:c r="J17" s="14"/>
      <x:c r="K17" s="10"/>
      <x:c r="L17" s="10"/>
      <x:c r="M17" s="10"/>
      <x:c r="N17" s="10"/>
      <x:c r="O17" s="1" t="str">
        <x:f>IF(COUNTA(A17:N17)=0,"",IF(AND(ISNUMBER(A17),B17&lt;&gt;"",C17&lt;&gt;"",D17&lt;&gt;"",E17&lt;&gt;"",F17="USD",ISNUMBER(G17),OR(H17="YES",H17="NO"),K17&lt;&gt;"",L17&lt;&gt;"",N17&lt;&gt;"",COUNTIFS($A$8:$A$207,A17,$B$8:$B$207,B17,$E$8:$E$207,E17)=1),"READY","Resolve missing / duplicate inputs"))</x:f>
      </x:c>
    </x:row>
    <x:row r="18" ht="25" customHeight="1">
      <x:c r="A18" s="11"/>
      <x:c r="B18" s="10"/>
      <x:c r="C18" s="10"/>
      <x:c r="D18" s="10"/>
      <x:c r="E18" s="10"/>
      <x:c r="F18" s="10"/>
      <x:c r="G18" s="14"/>
      <x:c r="H18" s="14"/>
      <x:c r="I18" s="14"/>
      <x:c r="J18" s="14"/>
      <x:c r="K18" s="10"/>
      <x:c r="L18" s="10"/>
      <x:c r="M18" s="10"/>
      <x:c r="N18" s="10"/>
      <x:c r="O18" s="1" t="str">
        <x:f>IF(COUNTA(A18:N18)=0,"",IF(AND(ISNUMBER(A18),B18&lt;&gt;"",C18&lt;&gt;"",D18&lt;&gt;"",E18&lt;&gt;"",F18="USD",ISNUMBER(G18),OR(H18="YES",H18="NO"),K18&lt;&gt;"",L18&lt;&gt;"",N18&lt;&gt;"",COUNTIFS($A$8:$A$207,A18,$B$8:$B$207,B18,$E$8:$E$207,E18)=1),"READY","Resolve missing / duplicate inputs"))</x:f>
      </x:c>
    </x:row>
    <x:row r="19" ht="25" customHeight="1">
      <x:c r="A19" s="11"/>
      <x:c r="B19" s="10"/>
      <x:c r="C19" s="10"/>
      <x:c r="D19" s="10"/>
      <x:c r="E19" s="10"/>
      <x:c r="F19" s="10"/>
      <x:c r="G19" s="14"/>
      <x:c r="H19" s="14"/>
      <x:c r="I19" s="14"/>
      <x:c r="J19" s="14"/>
      <x:c r="K19" s="10"/>
      <x:c r="L19" s="10"/>
      <x:c r="M19" s="10"/>
      <x:c r="N19" s="10"/>
      <x:c r="O19" s="1" t="str">
        <x:f>IF(COUNTA(A19:N19)=0,"",IF(AND(ISNUMBER(A19),B19&lt;&gt;"",C19&lt;&gt;"",D19&lt;&gt;"",E19&lt;&gt;"",F19="USD",ISNUMBER(G19),OR(H19="YES",H19="NO"),K19&lt;&gt;"",L19&lt;&gt;"",N19&lt;&gt;"",COUNTIFS($A$8:$A$207,A19,$B$8:$B$207,B19,$E$8:$E$207,E19)=1),"READY","Resolve missing / duplicate inputs"))</x:f>
      </x:c>
    </x:row>
    <x:row r="20" ht="25" customHeight="1">
      <x:c r="A20" s="11"/>
      <x:c r="B20" s="10"/>
      <x:c r="C20" s="10"/>
      <x:c r="D20" s="10"/>
      <x:c r="E20" s="10"/>
      <x:c r="F20" s="10"/>
      <x:c r="G20" s="14"/>
      <x:c r="H20" s="14"/>
      <x:c r="I20" s="14"/>
      <x:c r="J20" s="14"/>
      <x:c r="K20" s="10"/>
      <x:c r="L20" s="10"/>
      <x:c r="M20" s="10"/>
      <x:c r="N20" s="10"/>
      <x:c r="O20" s="1" t="str">
        <x:f>IF(COUNTA(A20:N20)=0,"",IF(AND(ISNUMBER(A20),B20&lt;&gt;"",C20&lt;&gt;"",D20&lt;&gt;"",E20&lt;&gt;"",F20="USD",ISNUMBER(G20),OR(H20="YES",H20="NO"),K20&lt;&gt;"",L20&lt;&gt;"",N20&lt;&gt;"",COUNTIFS($A$8:$A$207,A20,$B$8:$B$207,B20,$E$8:$E$207,E20)=1),"READY","Resolve missing / duplicate inputs"))</x:f>
      </x:c>
    </x:row>
    <x:row r="21" ht="25" customHeight="1">
      <x:c r="A21" s="11"/>
      <x:c r="B21" s="10"/>
      <x:c r="C21" s="10"/>
      <x:c r="D21" s="10"/>
      <x:c r="E21" s="10"/>
      <x:c r="F21" s="10"/>
      <x:c r="G21" s="14"/>
      <x:c r="H21" s="14"/>
      <x:c r="I21" s="14"/>
      <x:c r="J21" s="14"/>
      <x:c r="K21" s="10"/>
      <x:c r="L21" s="10"/>
      <x:c r="M21" s="10"/>
      <x:c r="N21" s="10"/>
      <x:c r="O21" s="1" t="str">
        <x:f>IF(COUNTA(A21:N21)=0,"",IF(AND(ISNUMBER(A21),B21&lt;&gt;"",C21&lt;&gt;"",D21&lt;&gt;"",E21&lt;&gt;"",F21="USD",ISNUMBER(G21),OR(H21="YES",H21="NO"),K21&lt;&gt;"",L21&lt;&gt;"",N21&lt;&gt;"",COUNTIFS($A$8:$A$207,A21,$B$8:$B$207,B21,$E$8:$E$207,E21)=1),"READY","Resolve missing / duplicate inputs"))</x:f>
      </x:c>
    </x:row>
    <x:row r="22" ht="25" customHeight="1">
      <x:c r="A22" s="11"/>
      <x:c r="B22" s="10"/>
      <x:c r="C22" s="10"/>
      <x:c r="D22" s="10"/>
      <x:c r="E22" s="10"/>
      <x:c r="F22" s="10"/>
      <x:c r="G22" s="14"/>
      <x:c r="H22" s="14"/>
      <x:c r="I22" s="14"/>
      <x:c r="J22" s="14"/>
      <x:c r="K22" s="10"/>
      <x:c r="L22" s="10"/>
      <x:c r="M22" s="10"/>
      <x:c r="N22" s="10"/>
      <x:c r="O22" s="1" t="str">
        <x:f>IF(COUNTA(A22:N22)=0,"",IF(AND(ISNUMBER(A22),B22&lt;&gt;"",C22&lt;&gt;"",D22&lt;&gt;"",E22&lt;&gt;"",F22="USD",ISNUMBER(G22),OR(H22="YES",H22="NO"),K22&lt;&gt;"",L22&lt;&gt;"",N22&lt;&gt;"",COUNTIFS($A$8:$A$207,A22,$B$8:$B$207,B22,$E$8:$E$207,E22)=1),"READY","Resolve missing / duplicate inputs"))</x:f>
      </x:c>
    </x:row>
    <x:row r="23" ht="25" customHeight="1">
      <x:c r="A23" s="11"/>
      <x:c r="B23" s="10"/>
      <x:c r="C23" s="10"/>
      <x:c r="D23" s="10"/>
      <x:c r="E23" s="10"/>
      <x:c r="F23" s="10"/>
      <x:c r="G23" s="14"/>
      <x:c r="H23" s="14"/>
      <x:c r="I23" s="14"/>
      <x:c r="J23" s="14"/>
      <x:c r="K23" s="10"/>
      <x:c r="L23" s="10"/>
      <x:c r="M23" s="10"/>
      <x:c r="N23" s="10"/>
      <x:c r="O23" s="1" t="str">
        <x:f>IF(COUNTA(A23:N23)=0,"",IF(AND(ISNUMBER(A23),B23&lt;&gt;"",C23&lt;&gt;"",D23&lt;&gt;"",E23&lt;&gt;"",F23="USD",ISNUMBER(G23),OR(H23="YES",H23="NO"),K23&lt;&gt;"",L23&lt;&gt;"",N23&lt;&gt;"",COUNTIFS($A$8:$A$207,A23,$B$8:$B$207,B23,$E$8:$E$207,E23)=1),"READY","Resolve missing / duplicate inputs"))</x:f>
      </x:c>
    </x:row>
    <x:row r="24" ht="25" customHeight="1">
      <x:c r="A24" s="11"/>
      <x:c r="B24" s="10"/>
      <x:c r="C24" s="10"/>
      <x:c r="D24" s="10"/>
      <x:c r="E24" s="10"/>
      <x:c r="F24" s="10"/>
      <x:c r="G24" s="14"/>
      <x:c r="H24" s="14"/>
      <x:c r="I24" s="14"/>
      <x:c r="J24" s="14"/>
      <x:c r="K24" s="10"/>
      <x:c r="L24" s="10"/>
      <x:c r="M24" s="10"/>
      <x:c r="N24" s="10"/>
      <x:c r="O24" s="1" t="str">
        <x:f>IF(COUNTA(A24:N24)=0,"",IF(AND(ISNUMBER(A24),B24&lt;&gt;"",C24&lt;&gt;"",D24&lt;&gt;"",E24&lt;&gt;"",F24="USD",ISNUMBER(G24),OR(H24="YES",H24="NO"),K24&lt;&gt;"",L24&lt;&gt;"",N24&lt;&gt;"",COUNTIFS($A$8:$A$207,A24,$B$8:$B$207,B24,$E$8:$E$207,E24)=1),"READY","Resolve missing / duplicate inputs"))</x:f>
      </x:c>
    </x:row>
    <x:row r="25" ht="25" customHeight="1">
      <x:c r="A25" s="11"/>
      <x:c r="B25" s="10"/>
      <x:c r="C25" s="10"/>
      <x:c r="D25" s="10"/>
      <x:c r="E25" s="10"/>
      <x:c r="F25" s="10"/>
      <x:c r="G25" s="14"/>
      <x:c r="H25" s="14"/>
      <x:c r="I25" s="14"/>
      <x:c r="J25" s="14"/>
      <x:c r="K25" s="10"/>
      <x:c r="L25" s="10"/>
      <x:c r="M25" s="10"/>
      <x:c r="N25" s="10"/>
      <x:c r="O25" s="1" t="str">
        <x:f>IF(COUNTA(A25:N25)=0,"",IF(AND(ISNUMBER(A25),B25&lt;&gt;"",C25&lt;&gt;"",D25&lt;&gt;"",E25&lt;&gt;"",F25="USD",ISNUMBER(G25),OR(H25="YES",H25="NO"),K25&lt;&gt;"",L25&lt;&gt;"",N25&lt;&gt;"",COUNTIFS($A$8:$A$207,A25,$B$8:$B$207,B25,$E$8:$E$207,E25)=1),"READY","Resolve missing / duplicate inputs"))</x:f>
      </x:c>
    </x:row>
    <x:row r="26" ht="25" customHeight="1">
      <x:c r="A26" s="11"/>
      <x:c r="B26" s="10"/>
      <x:c r="C26" s="10"/>
      <x:c r="D26" s="10"/>
      <x:c r="E26" s="10"/>
      <x:c r="F26" s="10"/>
      <x:c r="G26" s="14"/>
      <x:c r="H26" s="14"/>
      <x:c r="I26" s="14"/>
      <x:c r="J26" s="14"/>
      <x:c r="K26" s="10"/>
      <x:c r="L26" s="10"/>
      <x:c r="M26" s="10"/>
      <x:c r="N26" s="10"/>
      <x:c r="O26" s="1" t="str">
        <x:f>IF(COUNTA(A26:N26)=0,"",IF(AND(ISNUMBER(A26),B26&lt;&gt;"",C26&lt;&gt;"",D26&lt;&gt;"",E26&lt;&gt;"",F26="USD",ISNUMBER(G26),OR(H26="YES",H26="NO"),K26&lt;&gt;"",L26&lt;&gt;"",N26&lt;&gt;"",COUNTIFS($A$8:$A$207,A26,$B$8:$B$207,B26,$E$8:$E$207,E26)=1),"READY","Resolve missing / duplicate inputs"))</x:f>
      </x:c>
    </x:row>
    <x:row r="27" ht="25" customHeight="1">
      <x:c r="A27" s="11"/>
      <x:c r="B27" s="10"/>
      <x:c r="C27" s="10"/>
      <x:c r="D27" s="10"/>
      <x:c r="E27" s="10"/>
      <x:c r="F27" s="10"/>
      <x:c r="G27" s="14"/>
      <x:c r="H27" s="14"/>
      <x:c r="I27" s="14"/>
      <x:c r="J27" s="14"/>
      <x:c r="K27" s="10"/>
      <x:c r="L27" s="10"/>
      <x:c r="M27" s="10"/>
      <x:c r="N27" s="10"/>
      <x:c r="O27" s="1" t="str">
        <x:f>IF(COUNTA(A27:N27)=0,"",IF(AND(ISNUMBER(A27),B27&lt;&gt;"",C27&lt;&gt;"",D27&lt;&gt;"",E27&lt;&gt;"",F27="USD",ISNUMBER(G27),OR(H27="YES",H27="NO"),K27&lt;&gt;"",L27&lt;&gt;"",N27&lt;&gt;"",COUNTIFS($A$8:$A$207,A27,$B$8:$B$207,B27,$E$8:$E$207,E27)=1),"READY","Resolve missing / duplicate inputs"))</x:f>
      </x:c>
    </x:row>
    <x:row r="28" ht="25" customHeight="1">
      <x:c r="A28" s="11"/>
      <x:c r="B28" s="10"/>
      <x:c r="C28" s="10"/>
      <x:c r="D28" s="10"/>
      <x:c r="E28" s="10"/>
      <x:c r="F28" s="10"/>
      <x:c r="G28" s="14"/>
      <x:c r="H28" s="14"/>
      <x:c r="I28" s="14"/>
      <x:c r="J28" s="14"/>
      <x:c r="K28" s="10"/>
      <x:c r="L28" s="10"/>
      <x:c r="M28" s="10"/>
      <x:c r="N28" s="10"/>
      <x:c r="O28" s="1" t="str">
        <x:f>IF(COUNTA(A28:N28)=0,"",IF(AND(ISNUMBER(A28),B28&lt;&gt;"",C28&lt;&gt;"",D28&lt;&gt;"",E28&lt;&gt;"",F28="USD",ISNUMBER(G28),OR(H28="YES",H28="NO"),K28&lt;&gt;"",L28&lt;&gt;"",N28&lt;&gt;"",COUNTIFS($A$8:$A$207,A28,$B$8:$B$207,B28,$E$8:$E$207,E28)=1),"READY","Resolve missing / duplicate inputs"))</x:f>
      </x:c>
    </x:row>
    <x:row r="29" ht="25" customHeight="1">
      <x:c r="A29" s="11"/>
      <x:c r="B29" s="10"/>
      <x:c r="C29" s="10"/>
      <x:c r="D29" s="10"/>
      <x:c r="E29" s="10"/>
      <x:c r="F29" s="10"/>
      <x:c r="G29" s="14"/>
      <x:c r="H29" s="14"/>
      <x:c r="I29" s="14"/>
      <x:c r="J29" s="14"/>
      <x:c r="K29" s="10"/>
      <x:c r="L29" s="10"/>
      <x:c r="M29" s="10"/>
      <x:c r="N29" s="10"/>
      <x:c r="O29" s="1" t="str">
        <x:f>IF(COUNTA(A29:N29)=0,"",IF(AND(ISNUMBER(A29),B29&lt;&gt;"",C29&lt;&gt;"",D29&lt;&gt;"",E29&lt;&gt;"",F29="USD",ISNUMBER(G29),OR(H29="YES",H29="NO"),K29&lt;&gt;"",L29&lt;&gt;"",N29&lt;&gt;"",COUNTIFS($A$8:$A$207,A29,$B$8:$B$207,B29,$E$8:$E$207,E29)=1),"READY","Resolve missing / duplicate inputs"))</x:f>
      </x:c>
    </x:row>
    <x:row r="30" ht="25" customHeight="1">
      <x:c r="A30" s="11"/>
      <x:c r="B30" s="10"/>
      <x:c r="C30" s="10"/>
      <x:c r="D30" s="10"/>
      <x:c r="E30" s="10"/>
      <x:c r="F30" s="10"/>
      <x:c r="G30" s="14"/>
      <x:c r="H30" s="14"/>
      <x:c r="I30" s="14"/>
      <x:c r="J30" s="14"/>
      <x:c r="K30" s="10"/>
      <x:c r="L30" s="10"/>
      <x:c r="M30" s="10"/>
      <x:c r="N30" s="10"/>
      <x:c r="O30" s="1" t="str">
        <x:f>IF(COUNTA(A30:N30)=0,"",IF(AND(ISNUMBER(A30),B30&lt;&gt;"",C30&lt;&gt;"",D30&lt;&gt;"",E30&lt;&gt;"",F30="USD",ISNUMBER(G30),OR(H30="YES",H30="NO"),K30&lt;&gt;"",L30&lt;&gt;"",N30&lt;&gt;"",COUNTIFS($A$8:$A$207,A30,$B$8:$B$207,B30,$E$8:$E$207,E30)=1),"READY","Resolve missing / duplicate inputs"))</x:f>
      </x:c>
    </x:row>
    <x:row r="31" ht="25" customHeight="1">
      <x:c r="A31" s="11"/>
      <x:c r="B31" s="10"/>
      <x:c r="C31" s="10"/>
      <x:c r="D31" s="10"/>
      <x:c r="E31" s="10"/>
      <x:c r="F31" s="10"/>
      <x:c r="G31" s="14"/>
      <x:c r="H31" s="14"/>
      <x:c r="I31" s="14"/>
      <x:c r="J31" s="14"/>
      <x:c r="K31" s="10"/>
      <x:c r="L31" s="10"/>
      <x:c r="M31" s="10"/>
      <x:c r="N31" s="10"/>
      <x:c r="O31" s="1" t="str">
        <x:f>IF(COUNTA(A31:N31)=0,"",IF(AND(ISNUMBER(A31),B31&lt;&gt;"",C31&lt;&gt;"",D31&lt;&gt;"",E31&lt;&gt;"",F31="USD",ISNUMBER(G31),OR(H31="YES",H31="NO"),K31&lt;&gt;"",L31&lt;&gt;"",N31&lt;&gt;"",COUNTIFS($A$8:$A$207,A31,$B$8:$B$207,B31,$E$8:$E$207,E31)=1),"READY","Resolve missing / duplicate inputs"))</x:f>
      </x:c>
    </x:row>
    <x:row r="32" ht="25" customHeight="1">
      <x:c r="A32" s="11"/>
      <x:c r="B32" s="10"/>
      <x:c r="C32" s="10"/>
      <x:c r="D32" s="10"/>
      <x:c r="E32" s="10"/>
      <x:c r="F32" s="10"/>
      <x:c r="G32" s="14"/>
      <x:c r="H32" s="14"/>
      <x:c r="I32" s="14"/>
      <x:c r="J32" s="14"/>
      <x:c r="K32" s="10"/>
      <x:c r="L32" s="10"/>
      <x:c r="M32" s="10"/>
      <x:c r="N32" s="10"/>
      <x:c r="O32" s="1" t="str">
        <x:f>IF(COUNTA(A32:N32)=0,"",IF(AND(ISNUMBER(A32),B32&lt;&gt;"",C32&lt;&gt;"",D32&lt;&gt;"",E32&lt;&gt;"",F32="USD",ISNUMBER(G32),OR(H32="YES",H32="NO"),K32&lt;&gt;"",L32&lt;&gt;"",N32&lt;&gt;"",COUNTIFS($A$8:$A$207,A32,$B$8:$B$207,B32,$E$8:$E$207,E32)=1),"READY","Resolve missing / duplicate inputs"))</x:f>
      </x:c>
    </x:row>
    <x:row r="33" ht="25" customHeight="1">
      <x:c r="A33" s="11"/>
      <x:c r="B33" s="10"/>
      <x:c r="C33" s="10"/>
      <x:c r="D33" s="10"/>
      <x:c r="E33" s="10"/>
      <x:c r="F33" s="10"/>
      <x:c r="G33" s="14"/>
      <x:c r="H33" s="14"/>
      <x:c r="I33" s="14"/>
      <x:c r="J33" s="14"/>
      <x:c r="K33" s="10"/>
      <x:c r="L33" s="10"/>
      <x:c r="M33" s="10"/>
      <x:c r="N33" s="10"/>
      <x:c r="O33" s="1" t="str">
        <x:f>IF(COUNTA(A33:N33)=0,"",IF(AND(ISNUMBER(A33),B33&lt;&gt;"",C33&lt;&gt;"",D33&lt;&gt;"",E33&lt;&gt;"",F33="USD",ISNUMBER(G33),OR(H33="YES",H33="NO"),K33&lt;&gt;"",L33&lt;&gt;"",N33&lt;&gt;"",COUNTIFS($A$8:$A$207,A33,$B$8:$B$207,B33,$E$8:$E$207,E33)=1),"READY","Resolve missing / duplicate inputs"))</x:f>
      </x:c>
    </x:row>
    <x:row r="34" ht="25" customHeight="1">
      <x:c r="A34" s="11"/>
      <x:c r="B34" s="10"/>
      <x:c r="C34" s="10"/>
      <x:c r="D34" s="10"/>
      <x:c r="E34" s="10"/>
      <x:c r="F34" s="10"/>
      <x:c r="G34" s="14"/>
      <x:c r="H34" s="14"/>
      <x:c r="I34" s="14"/>
      <x:c r="J34" s="14"/>
      <x:c r="K34" s="10"/>
      <x:c r="L34" s="10"/>
      <x:c r="M34" s="10"/>
      <x:c r="N34" s="10"/>
      <x:c r="O34" s="1" t="str">
        <x:f>IF(COUNTA(A34:N34)=0,"",IF(AND(ISNUMBER(A34),B34&lt;&gt;"",C34&lt;&gt;"",D34&lt;&gt;"",E34&lt;&gt;"",F34="USD",ISNUMBER(G34),OR(H34="YES",H34="NO"),K34&lt;&gt;"",L34&lt;&gt;"",N34&lt;&gt;"",COUNTIFS($A$8:$A$207,A34,$B$8:$B$207,B34,$E$8:$E$207,E34)=1),"READY","Resolve missing / duplicate inputs"))</x:f>
      </x:c>
    </x:row>
    <x:row r="35" ht="25" customHeight="1">
      <x:c r="A35" s="11"/>
      <x:c r="B35" s="10"/>
      <x:c r="C35" s="10"/>
      <x:c r="D35" s="10"/>
      <x:c r="E35" s="10"/>
      <x:c r="F35" s="10"/>
      <x:c r="G35" s="14"/>
      <x:c r="H35" s="14"/>
      <x:c r="I35" s="14"/>
      <x:c r="J35" s="14"/>
      <x:c r="K35" s="10"/>
      <x:c r="L35" s="10"/>
      <x:c r="M35" s="10"/>
      <x:c r="N35" s="10"/>
      <x:c r="O35" s="1" t="str">
        <x:f>IF(COUNTA(A35:N35)=0,"",IF(AND(ISNUMBER(A35),B35&lt;&gt;"",C35&lt;&gt;"",D35&lt;&gt;"",E35&lt;&gt;"",F35="USD",ISNUMBER(G35),OR(H35="YES",H35="NO"),K35&lt;&gt;"",L35&lt;&gt;"",N35&lt;&gt;"",COUNTIFS($A$8:$A$207,A35,$B$8:$B$207,B35,$E$8:$E$207,E35)=1),"READY","Resolve missing / duplicate inputs"))</x:f>
      </x:c>
    </x:row>
    <x:row r="36" ht="25" customHeight="1">
      <x:c r="A36" s="11"/>
      <x:c r="B36" s="10"/>
      <x:c r="C36" s="10"/>
      <x:c r="D36" s="10"/>
      <x:c r="E36" s="10"/>
      <x:c r="F36" s="10"/>
      <x:c r="G36" s="14"/>
      <x:c r="H36" s="14"/>
      <x:c r="I36" s="14"/>
      <x:c r="J36" s="14"/>
      <x:c r="K36" s="10"/>
      <x:c r="L36" s="10"/>
      <x:c r="M36" s="10"/>
      <x:c r="N36" s="10"/>
      <x:c r="O36" s="1" t="str">
        <x:f>IF(COUNTA(A36:N36)=0,"",IF(AND(ISNUMBER(A36),B36&lt;&gt;"",C36&lt;&gt;"",D36&lt;&gt;"",E36&lt;&gt;"",F36="USD",ISNUMBER(G36),OR(H36="YES",H36="NO"),K36&lt;&gt;"",L36&lt;&gt;"",N36&lt;&gt;"",COUNTIFS($A$8:$A$207,A36,$B$8:$B$207,B36,$E$8:$E$207,E36)=1),"READY","Resolve missing / duplicate inputs"))</x:f>
      </x:c>
    </x:row>
    <x:row r="37" ht="25" customHeight="1">
      <x:c r="A37" s="11"/>
      <x:c r="B37" s="10"/>
      <x:c r="C37" s="10"/>
      <x:c r="D37" s="10"/>
      <x:c r="E37" s="10"/>
      <x:c r="F37" s="10"/>
      <x:c r="G37" s="14"/>
      <x:c r="H37" s="14"/>
      <x:c r="I37" s="14"/>
      <x:c r="J37" s="14"/>
      <x:c r="K37" s="10"/>
      <x:c r="L37" s="10"/>
      <x:c r="M37" s="10"/>
      <x:c r="N37" s="10"/>
      <x:c r="O37" s="1" t="str">
        <x:f>IF(COUNTA(A37:N37)=0,"",IF(AND(ISNUMBER(A37),B37&lt;&gt;"",C37&lt;&gt;"",D37&lt;&gt;"",E37&lt;&gt;"",F37="USD",ISNUMBER(G37),OR(H37="YES",H37="NO"),K37&lt;&gt;"",L37&lt;&gt;"",N37&lt;&gt;"",COUNTIFS($A$8:$A$207,A37,$B$8:$B$207,B37,$E$8:$E$207,E37)=1),"READY","Resolve missing / duplicate inputs"))</x:f>
      </x:c>
    </x:row>
    <x:row r="38" ht="25" customHeight="1">
      <x:c r="A38" s="11"/>
      <x:c r="B38" s="10"/>
      <x:c r="C38" s="10"/>
      <x:c r="D38" s="10"/>
      <x:c r="E38" s="10"/>
      <x:c r="F38" s="10"/>
      <x:c r="G38" s="14"/>
      <x:c r="H38" s="14"/>
      <x:c r="I38" s="14"/>
      <x:c r="J38" s="14"/>
      <x:c r="K38" s="10"/>
      <x:c r="L38" s="10"/>
      <x:c r="M38" s="10"/>
      <x:c r="N38" s="10"/>
      <x:c r="O38" s="1" t="str">
        <x:f>IF(COUNTA(A38:N38)=0,"",IF(AND(ISNUMBER(A38),B38&lt;&gt;"",C38&lt;&gt;"",D38&lt;&gt;"",E38&lt;&gt;"",F38="USD",ISNUMBER(G38),OR(H38="YES",H38="NO"),K38&lt;&gt;"",L38&lt;&gt;"",N38&lt;&gt;"",COUNTIFS($A$8:$A$207,A38,$B$8:$B$207,B38,$E$8:$E$207,E38)=1),"READY","Resolve missing / duplicate inputs"))</x:f>
      </x:c>
    </x:row>
    <x:row r="39" ht="25" customHeight="1">
      <x:c r="A39" s="11"/>
      <x:c r="B39" s="10"/>
      <x:c r="C39" s="10"/>
      <x:c r="D39" s="10"/>
      <x:c r="E39" s="10"/>
      <x:c r="F39" s="10"/>
      <x:c r="G39" s="14"/>
      <x:c r="H39" s="14"/>
      <x:c r="I39" s="14"/>
      <x:c r="J39" s="14"/>
      <x:c r="K39" s="10"/>
      <x:c r="L39" s="10"/>
      <x:c r="M39" s="10"/>
      <x:c r="N39" s="10"/>
      <x:c r="O39" s="1" t="str">
        <x:f>IF(COUNTA(A39:N39)=0,"",IF(AND(ISNUMBER(A39),B39&lt;&gt;"",C39&lt;&gt;"",D39&lt;&gt;"",E39&lt;&gt;"",F39="USD",ISNUMBER(G39),OR(H39="YES",H39="NO"),K39&lt;&gt;"",L39&lt;&gt;"",N39&lt;&gt;"",COUNTIFS($A$8:$A$207,A39,$B$8:$B$207,B39,$E$8:$E$207,E39)=1),"READY","Resolve missing / duplicate inputs"))</x:f>
      </x:c>
    </x:row>
    <x:row r="40" ht="25" customHeight="1">
      <x:c r="A40" s="11"/>
      <x:c r="B40" s="10"/>
      <x:c r="C40" s="10"/>
      <x:c r="D40" s="10"/>
      <x:c r="E40" s="10"/>
      <x:c r="F40" s="10"/>
      <x:c r="G40" s="14"/>
      <x:c r="H40" s="14"/>
      <x:c r="I40" s="14"/>
      <x:c r="J40" s="14"/>
      <x:c r="K40" s="10"/>
      <x:c r="L40" s="10"/>
      <x:c r="M40" s="10"/>
      <x:c r="N40" s="10"/>
      <x:c r="O40" s="1" t="str">
        <x:f>IF(COUNTA(A40:N40)=0,"",IF(AND(ISNUMBER(A40),B40&lt;&gt;"",C40&lt;&gt;"",D40&lt;&gt;"",E40&lt;&gt;"",F40="USD",ISNUMBER(G40),OR(H40="YES",H40="NO"),K40&lt;&gt;"",L40&lt;&gt;"",N40&lt;&gt;"",COUNTIFS($A$8:$A$207,A40,$B$8:$B$207,B40,$E$8:$E$207,E40)=1),"READY","Resolve missing / duplicate inputs"))</x:f>
      </x:c>
    </x:row>
    <x:row r="41" ht="25" customHeight="1">
      <x:c r="A41" s="11"/>
      <x:c r="B41" s="10"/>
      <x:c r="C41" s="10"/>
      <x:c r="D41" s="10"/>
      <x:c r="E41" s="10"/>
      <x:c r="F41" s="10"/>
      <x:c r="G41" s="14"/>
      <x:c r="H41" s="14"/>
      <x:c r="I41" s="14"/>
      <x:c r="J41" s="14"/>
      <x:c r="K41" s="10"/>
      <x:c r="L41" s="10"/>
      <x:c r="M41" s="10"/>
      <x:c r="N41" s="10"/>
      <x:c r="O41" s="1" t="str">
        <x:f>IF(COUNTA(A41:N41)=0,"",IF(AND(ISNUMBER(A41),B41&lt;&gt;"",C41&lt;&gt;"",D41&lt;&gt;"",E41&lt;&gt;"",F41="USD",ISNUMBER(G41),OR(H41="YES",H41="NO"),K41&lt;&gt;"",L41&lt;&gt;"",N41&lt;&gt;"",COUNTIFS($A$8:$A$207,A41,$B$8:$B$207,B41,$E$8:$E$207,E41)=1),"READY","Resolve missing / duplicate inputs"))</x:f>
      </x:c>
    </x:row>
    <x:row r="42" ht="25" customHeight="1">
      <x:c r="A42" s="11"/>
      <x:c r="B42" s="10"/>
      <x:c r="C42" s="10"/>
      <x:c r="D42" s="10"/>
      <x:c r="E42" s="10"/>
      <x:c r="F42" s="10"/>
      <x:c r="G42" s="14"/>
      <x:c r="H42" s="14"/>
      <x:c r="I42" s="14"/>
      <x:c r="J42" s="14"/>
      <x:c r="K42" s="10"/>
      <x:c r="L42" s="10"/>
      <x:c r="M42" s="10"/>
      <x:c r="N42" s="10"/>
      <x:c r="O42" s="1" t="str">
        <x:f>IF(COUNTA(A42:N42)=0,"",IF(AND(ISNUMBER(A42),B42&lt;&gt;"",C42&lt;&gt;"",D42&lt;&gt;"",E42&lt;&gt;"",F42="USD",ISNUMBER(G42),OR(H42="YES",H42="NO"),K42&lt;&gt;"",L42&lt;&gt;"",N42&lt;&gt;"",COUNTIFS($A$8:$A$207,A42,$B$8:$B$207,B42,$E$8:$E$207,E42)=1),"READY","Resolve missing / duplicate inputs"))</x:f>
      </x:c>
    </x:row>
    <x:row r="43" ht="25" customHeight="1">
      <x:c r="A43" s="11"/>
      <x:c r="B43" s="10"/>
      <x:c r="C43" s="10"/>
      <x:c r="D43" s="10"/>
      <x:c r="E43" s="10"/>
      <x:c r="F43" s="10"/>
      <x:c r="G43" s="14"/>
      <x:c r="H43" s="14"/>
      <x:c r="I43" s="14"/>
      <x:c r="J43" s="14"/>
      <x:c r="K43" s="10"/>
      <x:c r="L43" s="10"/>
      <x:c r="M43" s="10"/>
      <x:c r="N43" s="10"/>
      <x:c r="O43" s="1" t="str">
        <x:f>IF(COUNTA(A43:N43)=0,"",IF(AND(ISNUMBER(A43),B43&lt;&gt;"",C43&lt;&gt;"",D43&lt;&gt;"",E43&lt;&gt;"",F43="USD",ISNUMBER(G43),OR(H43="YES",H43="NO"),K43&lt;&gt;"",L43&lt;&gt;"",N43&lt;&gt;"",COUNTIFS($A$8:$A$207,A43,$B$8:$B$207,B43,$E$8:$E$207,E43)=1),"READY","Resolve missing / duplicate inputs"))</x:f>
      </x:c>
    </x:row>
    <x:row r="44" ht="25" customHeight="1">
      <x:c r="A44" s="11"/>
      <x:c r="B44" s="10"/>
      <x:c r="C44" s="10"/>
      <x:c r="D44" s="10"/>
      <x:c r="E44" s="10"/>
      <x:c r="F44" s="10"/>
      <x:c r="G44" s="14"/>
      <x:c r="H44" s="14"/>
      <x:c r="I44" s="14"/>
      <x:c r="J44" s="14"/>
      <x:c r="K44" s="10"/>
      <x:c r="L44" s="10"/>
      <x:c r="M44" s="10"/>
      <x:c r="N44" s="10"/>
      <x:c r="O44" s="1" t="str">
        <x:f>IF(COUNTA(A44:N44)=0,"",IF(AND(ISNUMBER(A44),B44&lt;&gt;"",C44&lt;&gt;"",D44&lt;&gt;"",E44&lt;&gt;"",F44="USD",ISNUMBER(G44),OR(H44="YES",H44="NO"),K44&lt;&gt;"",L44&lt;&gt;"",N44&lt;&gt;"",COUNTIFS($A$8:$A$207,A44,$B$8:$B$207,B44,$E$8:$E$207,E44)=1),"READY","Resolve missing / duplicate inputs"))</x:f>
      </x:c>
    </x:row>
    <x:row r="45" ht="25" customHeight="1">
      <x:c r="A45" s="11"/>
      <x:c r="B45" s="10"/>
      <x:c r="C45" s="10"/>
      <x:c r="D45" s="10"/>
      <x:c r="E45" s="10"/>
      <x:c r="F45" s="10"/>
      <x:c r="G45" s="14"/>
      <x:c r="H45" s="14"/>
      <x:c r="I45" s="14"/>
      <x:c r="J45" s="14"/>
      <x:c r="K45" s="10"/>
      <x:c r="L45" s="10"/>
      <x:c r="M45" s="10"/>
      <x:c r="N45" s="10"/>
      <x:c r="O45" s="1" t="str">
        <x:f>IF(COUNTA(A45:N45)=0,"",IF(AND(ISNUMBER(A45),B45&lt;&gt;"",C45&lt;&gt;"",D45&lt;&gt;"",E45&lt;&gt;"",F45="USD",ISNUMBER(G45),OR(H45="YES",H45="NO"),K45&lt;&gt;"",L45&lt;&gt;"",N45&lt;&gt;"",COUNTIFS($A$8:$A$207,A45,$B$8:$B$207,B45,$E$8:$E$207,E45)=1),"READY","Resolve missing / duplicate inputs"))</x:f>
      </x:c>
    </x:row>
    <x:row r="46" ht="25" customHeight="1">
      <x:c r="A46" s="11"/>
      <x:c r="B46" s="10"/>
      <x:c r="C46" s="10"/>
      <x:c r="D46" s="10"/>
      <x:c r="E46" s="10"/>
      <x:c r="F46" s="10"/>
      <x:c r="G46" s="14"/>
      <x:c r="H46" s="14"/>
      <x:c r="I46" s="14"/>
      <x:c r="J46" s="14"/>
      <x:c r="K46" s="10"/>
      <x:c r="L46" s="10"/>
      <x:c r="M46" s="10"/>
      <x:c r="N46" s="10"/>
      <x:c r="O46" s="1" t="str">
        <x:f>IF(COUNTA(A46:N46)=0,"",IF(AND(ISNUMBER(A46),B46&lt;&gt;"",C46&lt;&gt;"",D46&lt;&gt;"",E46&lt;&gt;"",F46="USD",ISNUMBER(G46),OR(H46="YES",H46="NO"),K46&lt;&gt;"",L46&lt;&gt;"",N46&lt;&gt;"",COUNTIFS($A$8:$A$207,A46,$B$8:$B$207,B46,$E$8:$E$207,E46)=1),"READY","Resolve missing / duplicate inputs"))</x:f>
      </x:c>
    </x:row>
    <x:row r="47" ht="25" customHeight="1">
      <x:c r="A47" s="11"/>
      <x:c r="B47" s="10"/>
      <x:c r="C47" s="10"/>
      <x:c r="D47" s="10"/>
      <x:c r="E47" s="10"/>
      <x:c r="F47" s="10"/>
      <x:c r="G47" s="14"/>
      <x:c r="H47" s="14"/>
      <x:c r="I47" s="14"/>
      <x:c r="J47" s="14"/>
      <x:c r="K47" s="10"/>
      <x:c r="L47" s="10"/>
      <x:c r="M47" s="10"/>
      <x:c r="N47" s="10"/>
      <x:c r="O47" s="1" t="str">
        <x:f>IF(COUNTA(A47:N47)=0,"",IF(AND(ISNUMBER(A47),B47&lt;&gt;"",C47&lt;&gt;"",D47&lt;&gt;"",E47&lt;&gt;"",F47="USD",ISNUMBER(G47),OR(H47="YES",H47="NO"),K47&lt;&gt;"",L47&lt;&gt;"",N47&lt;&gt;"",COUNTIFS($A$8:$A$207,A47,$B$8:$B$207,B47,$E$8:$E$207,E47)=1),"READY","Resolve missing / duplicate inputs"))</x:f>
      </x:c>
    </x:row>
    <x:row r="48" ht="25" customHeight="1">
      <x:c r="A48" s="11"/>
      <x:c r="B48" s="10"/>
      <x:c r="C48" s="10"/>
      <x:c r="D48" s="10"/>
      <x:c r="E48" s="10"/>
      <x:c r="F48" s="10"/>
      <x:c r="G48" s="14"/>
      <x:c r="H48" s="14"/>
      <x:c r="I48" s="14"/>
      <x:c r="J48" s="14"/>
      <x:c r="K48" s="10"/>
      <x:c r="L48" s="10"/>
      <x:c r="M48" s="10"/>
      <x:c r="N48" s="10"/>
      <x:c r="O48" s="1" t="str">
        <x:f>IF(COUNTA(A48:N48)=0,"",IF(AND(ISNUMBER(A48),B48&lt;&gt;"",C48&lt;&gt;"",D48&lt;&gt;"",E48&lt;&gt;"",F48="USD",ISNUMBER(G48),OR(H48="YES",H48="NO"),K48&lt;&gt;"",L48&lt;&gt;"",N48&lt;&gt;"",COUNTIFS($A$8:$A$207,A48,$B$8:$B$207,B48,$E$8:$E$207,E48)=1),"READY","Resolve missing / duplicate inputs"))</x:f>
      </x:c>
    </x:row>
    <x:row r="49" ht="25" customHeight="1">
      <x:c r="A49" s="11"/>
      <x:c r="B49" s="10"/>
      <x:c r="C49" s="10"/>
      <x:c r="D49" s="10"/>
      <x:c r="E49" s="10"/>
      <x:c r="F49" s="10"/>
      <x:c r="G49" s="14"/>
      <x:c r="H49" s="14"/>
      <x:c r="I49" s="14"/>
      <x:c r="J49" s="14"/>
      <x:c r="K49" s="10"/>
      <x:c r="L49" s="10"/>
      <x:c r="M49" s="10"/>
      <x:c r="N49" s="10"/>
      <x:c r="O49" s="1" t="str">
        <x:f>IF(COUNTA(A49:N49)=0,"",IF(AND(ISNUMBER(A49),B49&lt;&gt;"",C49&lt;&gt;"",D49&lt;&gt;"",E49&lt;&gt;"",F49="USD",ISNUMBER(G49),OR(H49="YES",H49="NO"),K49&lt;&gt;"",L49&lt;&gt;"",N49&lt;&gt;"",COUNTIFS($A$8:$A$207,A49,$B$8:$B$207,B49,$E$8:$E$207,E49)=1),"READY","Resolve missing / duplicate inputs"))</x:f>
      </x:c>
    </x:row>
    <x:row r="50" ht="25" customHeight="1">
      <x:c r="A50" s="11"/>
      <x:c r="B50" s="10"/>
      <x:c r="C50" s="10"/>
      <x:c r="D50" s="10"/>
      <x:c r="E50" s="10"/>
      <x:c r="F50" s="10"/>
      <x:c r="G50" s="14"/>
      <x:c r="H50" s="14"/>
      <x:c r="I50" s="14"/>
      <x:c r="J50" s="14"/>
      <x:c r="K50" s="10"/>
      <x:c r="L50" s="10"/>
      <x:c r="M50" s="10"/>
      <x:c r="N50" s="10"/>
      <x:c r="O50" s="1" t="str">
        <x:f>IF(COUNTA(A50:N50)=0,"",IF(AND(ISNUMBER(A50),B50&lt;&gt;"",C50&lt;&gt;"",D50&lt;&gt;"",E50&lt;&gt;"",F50="USD",ISNUMBER(G50),OR(H50="YES",H50="NO"),K50&lt;&gt;"",L50&lt;&gt;"",N50&lt;&gt;"",COUNTIFS($A$8:$A$207,A50,$B$8:$B$207,B50,$E$8:$E$207,E50)=1),"READY","Resolve missing / duplicate inputs"))</x:f>
      </x:c>
    </x:row>
    <x:row r="51" ht="25" customHeight="1">
      <x:c r="A51" s="11"/>
      <x:c r="B51" s="10"/>
      <x:c r="C51" s="10"/>
      <x:c r="D51" s="10"/>
      <x:c r="E51" s="10"/>
      <x:c r="F51" s="10"/>
      <x:c r="G51" s="14"/>
      <x:c r="H51" s="14"/>
      <x:c r="I51" s="14"/>
      <x:c r="J51" s="14"/>
      <x:c r="K51" s="10"/>
      <x:c r="L51" s="10"/>
      <x:c r="M51" s="10"/>
      <x:c r="N51" s="10"/>
      <x:c r="O51" s="1" t="str">
        <x:f>IF(COUNTA(A51:N51)=0,"",IF(AND(ISNUMBER(A51),B51&lt;&gt;"",C51&lt;&gt;"",D51&lt;&gt;"",E51&lt;&gt;"",F51="USD",ISNUMBER(G51),OR(H51="YES",H51="NO"),K51&lt;&gt;"",L51&lt;&gt;"",N51&lt;&gt;"",COUNTIFS($A$8:$A$207,A51,$B$8:$B$207,B51,$E$8:$E$207,E51)=1),"READY","Resolve missing / duplicate inputs"))</x:f>
      </x:c>
    </x:row>
    <x:row r="52" ht="25" customHeight="1">
      <x:c r="A52" s="11"/>
      <x:c r="B52" s="10"/>
      <x:c r="C52" s="10"/>
      <x:c r="D52" s="10"/>
      <x:c r="E52" s="10"/>
      <x:c r="F52" s="10"/>
      <x:c r="G52" s="14"/>
      <x:c r="H52" s="14"/>
      <x:c r="I52" s="14"/>
      <x:c r="J52" s="14"/>
      <x:c r="K52" s="10"/>
      <x:c r="L52" s="10"/>
      <x:c r="M52" s="10"/>
      <x:c r="N52" s="10"/>
      <x:c r="O52" s="1" t="str">
        <x:f>IF(COUNTA(A52:N52)=0,"",IF(AND(ISNUMBER(A52),B52&lt;&gt;"",C52&lt;&gt;"",D52&lt;&gt;"",E52&lt;&gt;"",F52="USD",ISNUMBER(G52),OR(H52="YES",H52="NO"),K52&lt;&gt;"",L52&lt;&gt;"",N52&lt;&gt;"",COUNTIFS($A$8:$A$207,A52,$B$8:$B$207,B52,$E$8:$E$207,E52)=1),"READY","Resolve missing / duplicate inputs"))</x:f>
      </x:c>
    </x:row>
    <x:row r="53" ht="25" customHeight="1">
      <x:c r="A53" s="11"/>
      <x:c r="B53" s="10"/>
      <x:c r="C53" s="10"/>
      <x:c r="D53" s="10"/>
      <x:c r="E53" s="10"/>
      <x:c r="F53" s="10"/>
      <x:c r="G53" s="14"/>
      <x:c r="H53" s="14"/>
      <x:c r="I53" s="14"/>
      <x:c r="J53" s="14"/>
      <x:c r="K53" s="10"/>
      <x:c r="L53" s="10"/>
      <x:c r="M53" s="10"/>
      <x:c r="N53" s="10"/>
      <x:c r="O53" s="1" t="str">
        <x:f>IF(COUNTA(A53:N53)=0,"",IF(AND(ISNUMBER(A53),B53&lt;&gt;"",C53&lt;&gt;"",D53&lt;&gt;"",E53&lt;&gt;"",F53="USD",ISNUMBER(G53),OR(H53="YES",H53="NO"),K53&lt;&gt;"",L53&lt;&gt;"",N53&lt;&gt;"",COUNTIFS($A$8:$A$207,A53,$B$8:$B$207,B53,$E$8:$E$207,E53)=1),"READY","Resolve missing / duplicate inputs"))</x:f>
      </x:c>
    </x:row>
    <x:row r="54" ht="25" customHeight="1">
      <x:c r="A54" s="11"/>
      <x:c r="B54" s="10"/>
      <x:c r="C54" s="10"/>
      <x:c r="D54" s="10"/>
      <x:c r="E54" s="10"/>
      <x:c r="F54" s="10"/>
      <x:c r="G54" s="14"/>
      <x:c r="H54" s="14"/>
      <x:c r="I54" s="14"/>
      <x:c r="J54" s="14"/>
      <x:c r="K54" s="10"/>
      <x:c r="L54" s="10"/>
      <x:c r="M54" s="10"/>
      <x:c r="N54" s="10"/>
      <x:c r="O54" s="1" t="str">
        <x:f>IF(COUNTA(A54:N54)=0,"",IF(AND(ISNUMBER(A54),B54&lt;&gt;"",C54&lt;&gt;"",D54&lt;&gt;"",E54&lt;&gt;"",F54="USD",ISNUMBER(G54),OR(H54="YES",H54="NO"),K54&lt;&gt;"",L54&lt;&gt;"",N54&lt;&gt;"",COUNTIFS($A$8:$A$207,A54,$B$8:$B$207,B54,$E$8:$E$207,E54)=1),"READY","Resolve missing / duplicate inputs"))</x:f>
      </x:c>
    </x:row>
    <x:row r="55" ht="25" customHeight="1">
      <x:c r="A55" s="11"/>
      <x:c r="B55" s="10"/>
      <x:c r="C55" s="10"/>
      <x:c r="D55" s="10"/>
      <x:c r="E55" s="10"/>
      <x:c r="F55" s="10"/>
      <x:c r="G55" s="14"/>
      <x:c r="H55" s="14"/>
      <x:c r="I55" s="14"/>
      <x:c r="J55" s="14"/>
      <x:c r="K55" s="10"/>
      <x:c r="L55" s="10"/>
      <x:c r="M55" s="10"/>
      <x:c r="N55" s="10"/>
      <x:c r="O55" s="1" t="str">
        <x:f>IF(COUNTA(A55:N55)=0,"",IF(AND(ISNUMBER(A55),B55&lt;&gt;"",C55&lt;&gt;"",D55&lt;&gt;"",E55&lt;&gt;"",F55="USD",ISNUMBER(G55),OR(H55="YES",H55="NO"),K55&lt;&gt;"",L55&lt;&gt;"",N55&lt;&gt;"",COUNTIFS($A$8:$A$207,A55,$B$8:$B$207,B55,$E$8:$E$207,E55)=1),"READY","Resolve missing / duplicate inputs"))</x:f>
      </x:c>
    </x:row>
    <x:row r="56" ht="25" customHeight="1">
      <x:c r="A56" s="11"/>
      <x:c r="B56" s="10"/>
      <x:c r="C56" s="10"/>
      <x:c r="D56" s="10"/>
      <x:c r="E56" s="10"/>
      <x:c r="F56" s="10"/>
      <x:c r="G56" s="14"/>
      <x:c r="H56" s="14"/>
      <x:c r="I56" s="14"/>
      <x:c r="J56" s="14"/>
      <x:c r="K56" s="10"/>
      <x:c r="L56" s="10"/>
      <x:c r="M56" s="10"/>
      <x:c r="N56" s="10"/>
      <x:c r="O56" s="1" t="str">
        <x:f>IF(COUNTA(A56:N56)=0,"",IF(AND(ISNUMBER(A56),B56&lt;&gt;"",C56&lt;&gt;"",D56&lt;&gt;"",E56&lt;&gt;"",F56="USD",ISNUMBER(G56),OR(H56="YES",H56="NO"),K56&lt;&gt;"",L56&lt;&gt;"",N56&lt;&gt;"",COUNTIFS($A$8:$A$207,A56,$B$8:$B$207,B56,$E$8:$E$207,E56)=1),"READY","Resolve missing / duplicate inputs"))</x:f>
      </x:c>
    </x:row>
    <x:row r="57" ht="25" customHeight="1">
      <x:c r="A57" s="11"/>
      <x:c r="B57" s="10"/>
      <x:c r="C57" s="10"/>
      <x:c r="D57" s="10"/>
      <x:c r="E57" s="10"/>
      <x:c r="F57" s="10"/>
      <x:c r="G57" s="14"/>
      <x:c r="H57" s="14"/>
      <x:c r="I57" s="14"/>
      <x:c r="J57" s="14"/>
      <x:c r="K57" s="10"/>
      <x:c r="L57" s="10"/>
      <x:c r="M57" s="10"/>
      <x:c r="N57" s="10"/>
      <x:c r="O57" s="1" t="str">
        <x:f>IF(COUNTA(A57:N57)=0,"",IF(AND(ISNUMBER(A57),B57&lt;&gt;"",C57&lt;&gt;"",D57&lt;&gt;"",E57&lt;&gt;"",F57="USD",ISNUMBER(G57),OR(H57="YES",H57="NO"),K57&lt;&gt;"",L57&lt;&gt;"",N57&lt;&gt;"",COUNTIFS($A$8:$A$207,A57,$B$8:$B$207,B57,$E$8:$E$207,E57)=1),"READY","Resolve missing / duplicate inputs"))</x:f>
      </x:c>
    </x:row>
    <x:row r="58" ht="25" customHeight="1">
      <x:c r="A58" s="11"/>
      <x:c r="B58" s="10"/>
      <x:c r="C58" s="10"/>
      <x:c r="D58" s="10"/>
      <x:c r="E58" s="10"/>
      <x:c r="F58" s="10"/>
      <x:c r="G58" s="14"/>
      <x:c r="H58" s="14"/>
      <x:c r="I58" s="14"/>
      <x:c r="J58" s="14"/>
      <x:c r="K58" s="10"/>
      <x:c r="L58" s="10"/>
      <x:c r="M58" s="10"/>
      <x:c r="N58" s="10"/>
      <x:c r="O58" s="1" t="str">
        <x:f>IF(COUNTA(A58:N58)=0,"",IF(AND(ISNUMBER(A58),B58&lt;&gt;"",C58&lt;&gt;"",D58&lt;&gt;"",E58&lt;&gt;"",F58="USD",ISNUMBER(G58),OR(H58="YES",H58="NO"),K58&lt;&gt;"",L58&lt;&gt;"",N58&lt;&gt;"",COUNTIFS($A$8:$A$207,A58,$B$8:$B$207,B58,$E$8:$E$207,E58)=1),"READY","Resolve missing / duplicate inputs"))</x:f>
      </x:c>
    </x:row>
    <x:row r="59" ht="25" customHeight="1">
      <x:c r="A59" s="11"/>
      <x:c r="B59" s="10"/>
      <x:c r="C59" s="10"/>
      <x:c r="D59" s="10"/>
      <x:c r="E59" s="10"/>
      <x:c r="F59" s="10"/>
      <x:c r="G59" s="14"/>
      <x:c r="H59" s="14"/>
      <x:c r="I59" s="14"/>
      <x:c r="J59" s="14"/>
      <x:c r="K59" s="10"/>
      <x:c r="L59" s="10"/>
      <x:c r="M59" s="10"/>
      <x:c r="N59" s="10"/>
      <x:c r="O59" s="1" t="str">
        <x:f>IF(COUNTA(A59:N59)=0,"",IF(AND(ISNUMBER(A59),B59&lt;&gt;"",C59&lt;&gt;"",D59&lt;&gt;"",E59&lt;&gt;"",F59="USD",ISNUMBER(G59),OR(H59="YES",H59="NO"),K59&lt;&gt;"",L59&lt;&gt;"",N59&lt;&gt;"",COUNTIFS($A$8:$A$207,A59,$B$8:$B$207,B59,$E$8:$E$207,E59)=1),"READY","Resolve missing / duplicate inputs"))</x:f>
      </x:c>
    </x:row>
    <x:row r="60" ht="25" customHeight="1">
      <x:c r="A60" s="11"/>
      <x:c r="B60" s="10"/>
      <x:c r="C60" s="10"/>
      <x:c r="D60" s="10"/>
      <x:c r="E60" s="10"/>
      <x:c r="F60" s="10"/>
      <x:c r="G60" s="14"/>
      <x:c r="H60" s="14"/>
      <x:c r="I60" s="14"/>
      <x:c r="J60" s="14"/>
      <x:c r="K60" s="10"/>
      <x:c r="L60" s="10"/>
      <x:c r="M60" s="10"/>
      <x:c r="N60" s="10"/>
      <x:c r="O60" s="1" t="str">
        <x:f>IF(COUNTA(A60:N60)=0,"",IF(AND(ISNUMBER(A60),B60&lt;&gt;"",C60&lt;&gt;"",D60&lt;&gt;"",E60&lt;&gt;"",F60="USD",ISNUMBER(G60),OR(H60="YES",H60="NO"),K60&lt;&gt;"",L60&lt;&gt;"",N60&lt;&gt;"",COUNTIFS($A$8:$A$207,A60,$B$8:$B$207,B60,$E$8:$E$207,E60)=1),"READY","Resolve missing / duplicate inputs"))</x:f>
      </x:c>
    </x:row>
    <x:row r="61" ht="25" customHeight="1">
      <x:c r="A61" s="11"/>
      <x:c r="B61" s="10"/>
      <x:c r="C61" s="10"/>
      <x:c r="D61" s="10"/>
      <x:c r="E61" s="10"/>
      <x:c r="F61" s="10"/>
      <x:c r="G61" s="14"/>
      <x:c r="H61" s="14"/>
      <x:c r="I61" s="14"/>
      <x:c r="J61" s="14"/>
      <x:c r="K61" s="10"/>
      <x:c r="L61" s="10"/>
      <x:c r="M61" s="10"/>
      <x:c r="N61" s="10"/>
      <x:c r="O61" s="1" t="str">
        <x:f>IF(COUNTA(A61:N61)=0,"",IF(AND(ISNUMBER(A61),B61&lt;&gt;"",C61&lt;&gt;"",D61&lt;&gt;"",E61&lt;&gt;"",F61="USD",ISNUMBER(G61),OR(H61="YES",H61="NO"),K61&lt;&gt;"",L61&lt;&gt;"",N61&lt;&gt;"",COUNTIFS($A$8:$A$207,A61,$B$8:$B$207,B61,$E$8:$E$207,E61)=1),"READY","Resolve missing / duplicate inputs"))</x:f>
      </x:c>
    </x:row>
    <x:row r="62" ht="25" customHeight="1">
      <x:c r="A62" s="11"/>
      <x:c r="B62" s="10"/>
      <x:c r="C62" s="10"/>
      <x:c r="D62" s="10"/>
      <x:c r="E62" s="10"/>
      <x:c r="F62" s="10"/>
      <x:c r="G62" s="14"/>
      <x:c r="H62" s="14"/>
      <x:c r="I62" s="14"/>
      <x:c r="J62" s="14"/>
      <x:c r="K62" s="10"/>
      <x:c r="L62" s="10"/>
      <x:c r="M62" s="10"/>
      <x:c r="N62" s="10"/>
      <x:c r="O62" s="1" t="str">
        <x:f>IF(COUNTA(A62:N62)=0,"",IF(AND(ISNUMBER(A62),B62&lt;&gt;"",C62&lt;&gt;"",D62&lt;&gt;"",E62&lt;&gt;"",F62="USD",ISNUMBER(G62),OR(H62="YES",H62="NO"),K62&lt;&gt;"",L62&lt;&gt;"",N62&lt;&gt;"",COUNTIFS($A$8:$A$207,A62,$B$8:$B$207,B62,$E$8:$E$207,E62)=1),"READY","Resolve missing / duplicate inputs"))</x:f>
      </x:c>
    </x:row>
    <x:row r="63" ht="25" customHeight="1">
      <x:c r="A63" s="11"/>
      <x:c r="B63" s="10"/>
      <x:c r="C63" s="10"/>
      <x:c r="D63" s="10"/>
      <x:c r="E63" s="10"/>
      <x:c r="F63" s="10"/>
      <x:c r="G63" s="14"/>
      <x:c r="H63" s="14"/>
      <x:c r="I63" s="14"/>
      <x:c r="J63" s="14"/>
      <x:c r="K63" s="10"/>
      <x:c r="L63" s="10"/>
      <x:c r="M63" s="10"/>
      <x:c r="N63" s="10"/>
      <x:c r="O63" s="1" t="str">
        <x:f>IF(COUNTA(A63:N63)=0,"",IF(AND(ISNUMBER(A63),B63&lt;&gt;"",C63&lt;&gt;"",D63&lt;&gt;"",E63&lt;&gt;"",F63="USD",ISNUMBER(G63),OR(H63="YES",H63="NO"),K63&lt;&gt;"",L63&lt;&gt;"",N63&lt;&gt;"",COUNTIFS($A$8:$A$207,A63,$B$8:$B$207,B63,$E$8:$E$207,E63)=1),"READY","Resolve missing / duplicate inputs"))</x:f>
      </x:c>
    </x:row>
    <x:row r="64" ht="25" customHeight="1">
      <x:c r="A64" s="11"/>
      <x:c r="B64" s="10"/>
      <x:c r="C64" s="10"/>
      <x:c r="D64" s="10"/>
      <x:c r="E64" s="10"/>
      <x:c r="F64" s="10"/>
      <x:c r="G64" s="14"/>
      <x:c r="H64" s="14"/>
      <x:c r="I64" s="14"/>
      <x:c r="J64" s="14"/>
      <x:c r="K64" s="10"/>
      <x:c r="L64" s="10"/>
      <x:c r="M64" s="10"/>
      <x:c r="N64" s="10"/>
      <x:c r="O64" s="1" t="str">
        <x:f>IF(COUNTA(A64:N64)=0,"",IF(AND(ISNUMBER(A64),B64&lt;&gt;"",C64&lt;&gt;"",D64&lt;&gt;"",E64&lt;&gt;"",F64="USD",ISNUMBER(G64),OR(H64="YES",H64="NO"),K64&lt;&gt;"",L64&lt;&gt;"",N64&lt;&gt;"",COUNTIFS($A$8:$A$207,A64,$B$8:$B$207,B64,$E$8:$E$207,E64)=1),"READY","Resolve missing / duplicate inputs"))</x:f>
      </x:c>
    </x:row>
    <x:row r="65" ht="25" customHeight="1">
      <x:c r="A65" s="11"/>
      <x:c r="B65" s="10"/>
      <x:c r="C65" s="10"/>
      <x:c r="D65" s="10"/>
      <x:c r="E65" s="10"/>
      <x:c r="F65" s="10"/>
      <x:c r="G65" s="14"/>
      <x:c r="H65" s="14"/>
      <x:c r="I65" s="14"/>
      <x:c r="J65" s="14"/>
      <x:c r="K65" s="10"/>
      <x:c r="L65" s="10"/>
      <x:c r="M65" s="10"/>
      <x:c r="N65" s="10"/>
      <x:c r="O65" s="1" t="str">
        <x:f>IF(COUNTA(A65:N65)=0,"",IF(AND(ISNUMBER(A65),B65&lt;&gt;"",C65&lt;&gt;"",D65&lt;&gt;"",E65&lt;&gt;"",F65="USD",ISNUMBER(G65),OR(H65="YES",H65="NO"),K65&lt;&gt;"",L65&lt;&gt;"",N65&lt;&gt;"",COUNTIFS($A$8:$A$207,A65,$B$8:$B$207,B65,$E$8:$E$207,E65)=1),"READY","Resolve missing / duplicate inputs"))</x:f>
      </x:c>
    </x:row>
    <x:row r="66" ht="25" customHeight="1">
      <x:c r="A66" s="11"/>
      <x:c r="B66" s="10"/>
      <x:c r="C66" s="10"/>
      <x:c r="D66" s="10"/>
      <x:c r="E66" s="10"/>
      <x:c r="F66" s="10"/>
      <x:c r="G66" s="14"/>
      <x:c r="H66" s="14"/>
      <x:c r="I66" s="14"/>
      <x:c r="J66" s="14"/>
      <x:c r="K66" s="10"/>
      <x:c r="L66" s="10"/>
      <x:c r="M66" s="10"/>
      <x:c r="N66" s="10"/>
      <x:c r="O66" s="1" t="str">
        <x:f>IF(COUNTA(A66:N66)=0,"",IF(AND(ISNUMBER(A66),B66&lt;&gt;"",C66&lt;&gt;"",D66&lt;&gt;"",E66&lt;&gt;"",F66="USD",ISNUMBER(G66),OR(H66="YES",H66="NO"),K66&lt;&gt;"",L66&lt;&gt;"",N66&lt;&gt;"",COUNTIFS($A$8:$A$207,A66,$B$8:$B$207,B66,$E$8:$E$207,E66)=1),"READY","Resolve missing / duplicate inputs"))</x:f>
      </x:c>
    </x:row>
    <x:row r="67" ht="25" customHeight="1">
      <x:c r="A67" s="11"/>
      <x:c r="B67" s="10"/>
      <x:c r="C67" s="10"/>
      <x:c r="D67" s="10"/>
      <x:c r="E67" s="10"/>
      <x:c r="F67" s="10"/>
      <x:c r="G67" s="14"/>
      <x:c r="H67" s="14"/>
      <x:c r="I67" s="14"/>
      <x:c r="J67" s="14"/>
      <x:c r="K67" s="10"/>
      <x:c r="L67" s="10"/>
      <x:c r="M67" s="10"/>
      <x:c r="N67" s="10"/>
      <x:c r="O67" s="1" t="str">
        <x:f>IF(COUNTA(A67:N67)=0,"",IF(AND(ISNUMBER(A67),B67&lt;&gt;"",C67&lt;&gt;"",D67&lt;&gt;"",E67&lt;&gt;"",F67="USD",ISNUMBER(G67),OR(H67="YES",H67="NO"),K67&lt;&gt;"",L67&lt;&gt;"",N67&lt;&gt;"",COUNTIFS($A$8:$A$207,A67,$B$8:$B$207,B67,$E$8:$E$207,E67)=1),"READY","Resolve missing / duplicate inputs"))</x:f>
      </x:c>
    </x:row>
    <x:row r="68" ht="25" customHeight="1">
      <x:c r="A68" s="11"/>
      <x:c r="B68" s="10"/>
      <x:c r="C68" s="10"/>
      <x:c r="D68" s="10"/>
      <x:c r="E68" s="10"/>
      <x:c r="F68" s="10"/>
      <x:c r="G68" s="14"/>
      <x:c r="H68" s="14"/>
      <x:c r="I68" s="14"/>
      <x:c r="J68" s="14"/>
      <x:c r="K68" s="10"/>
      <x:c r="L68" s="10"/>
      <x:c r="M68" s="10"/>
      <x:c r="N68" s="10"/>
      <x:c r="O68" s="1" t="str">
        <x:f>IF(COUNTA(A68:N68)=0,"",IF(AND(ISNUMBER(A68),B68&lt;&gt;"",C68&lt;&gt;"",D68&lt;&gt;"",E68&lt;&gt;"",F68="USD",ISNUMBER(G68),OR(H68="YES",H68="NO"),K68&lt;&gt;"",L68&lt;&gt;"",N68&lt;&gt;"",COUNTIFS($A$8:$A$207,A68,$B$8:$B$207,B68,$E$8:$E$207,E68)=1),"READY","Resolve missing / duplicate inputs"))</x:f>
      </x:c>
    </x:row>
    <x:row r="69" ht="25" customHeight="1">
      <x:c r="A69" s="11"/>
      <x:c r="B69" s="10"/>
      <x:c r="C69" s="10"/>
      <x:c r="D69" s="10"/>
      <x:c r="E69" s="10"/>
      <x:c r="F69" s="10"/>
      <x:c r="G69" s="14"/>
      <x:c r="H69" s="14"/>
      <x:c r="I69" s="14"/>
      <x:c r="J69" s="14"/>
      <x:c r="K69" s="10"/>
      <x:c r="L69" s="10"/>
      <x:c r="M69" s="10"/>
      <x:c r="N69" s="10"/>
      <x:c r="O69" s="1" t="str">
        <x:f>IF(COUNTA(A69:N69)=0,"",IF(AND(ISNUMBER(A69),B69&lt;&gt;"",C69&lt;&gt;"",D69&lt;&gt;"",E69&lt;&gt;"",F69="USD",ISNUMBER(G69),OR(H69="YES",H69="NO"),K69&lt;&gt;"",L69&lt;&gt;"",N69&lt;&gt;"",COUNTIFS($A$8:$A$207,A69,$B$8:$B$207,B69,$E$8:$E$207,E69)=1),"READY","Resolve missing / duplicate inputs"))</x:f>
      </x:c>
    </x:row>
    <x:row r="70" ht="25" customHeight="1">
      <x:c r="A70" s="11"/>
      <x:c r="B70" s="10"/>
      <x:c r="C70" s="10"/>
      <x:c r="D70" s="10"/>
      <x:c r="E70" s="10"/>
      <x:c r="F70" s="10"/>
      <x:c r="G70" s="14"/>
      <x:c r="H70" s="14"/>
      <x:c r="I70" s="14"/>
      <x:c r="J70" s="14"/>
      <x:c r="K70" s="10"/>
      <x:c r="L70" s="10"/>
      <x:c r="M70" s="10"/>
      <x:c r="N70" s="10"/>
      <x:c r="O70" s="1" t="str">
        <x:f>IF(COUNTA(A70:N70)=0,"",IF(AND(ISNUMBER(A70),B70&lt;&gt;"",C70&lt;&gt;"",D70&lt;&gt;"",E70&lt;&gt;"",F70="USD",ISNUMBER(G70),OR(H70="YES",H70="NO"),K70&lt;&gt;"",L70&lt;&gt;"",N70&lt;&gt;"",COUNTIFS($A$8:$A$207,A70,$B$8:$B$207,B70,$E$8:$E$207,E70)=1),"READY","Resolve missing / duplicate inputs"))</x:f>
      </x:c>
    </x:row>
    <x:row r="71" ht="25" customHeight="1">
      <x:c r="A71" s="11"/>
      <x:c r="B71" s="10"/>
      <x:c r="C71" s="10"/>
      <x:c r="D71" s="10"/>
      <x:c r="E71" s="10"/>
      <x:c r="F71" s="10"/>
      <x:c r="G71" s="14"/>
      <x:c r="H71" s="14"/>
      <x:c r="I71" s="14"/>
      <x:c r="J71" s="14"/>
      <x:c r="K71" s="10"/>
      <x:c r="L71" s="10"/>
      <x:c r="M71" s="10"/>
      <x:c r="N71" s="10"/>
      <x:c r="O71" s="1" t="str">
        <x:f>IF(COUNTA(A71:N71)=0,"",IF(AND(ISNUMBER(A71),B71&lt;&gt;"",C71&lt;&gt;"",D71&lt;&gt;"",E71&lt;&gt;"",F71="USD",ISNUMBER(G71),OR(H71="YES",H71="NO"),K71&lt;&gt;"",L71&lt;&gt;"",N71&lt;&gt;"",COUNTIFS($A$8:$A$207,A71,$B$8:$B$207,B71,$E$8:$E$207,E71)=1),"READY","Resolve missing / duplicate inputs"))</x:f>
      </x:c>
    </x:row>
    <x:row r="72" ht="25" customHeight="1">
      <x:c r="A72" s="11"/>
      <x:c r="B72" s="10"/>
      <x:c r="C72" s="10"/>
      <x:c r="D72" s="10"/>
      <x:c r="E72" s="10"/>
      <x:c r="F72" s="10"/>
      <x:c r="G72" s="14"/>
      <x:c r="H72" s="14"/>
      <x:c r="I72" s="14"/>
      <x:c r="J72" s="14"/>
      <x:c r="K72" s="10"/>
      <x:c r="L72" s="10"/>
      <x:c r="M72" s="10"/>
      <x:c r="N72" s="10"/>
      <x:c r="O72" s="1" t="str">
        <x:f>IF(COUNTA(A72:N72)=0,"",IF(AND(ISNUMBER(A72),B72&lt;&gt;"",C72&lt;&gt;"",D72&lt;&gt;"",E72&lt;&gt;"",F72="USD",ISNUMBER(G72),OR(H72="YES",H72="NO"),K72&lt;&gt;"",L72&lt;&gt;"",N72&lt;&gt;"",COUNTIFS($A$8:$A$207,A72,$B$8:$B$207,B72,$E$8:$E$207,E72)=1),"READY","Resolve missing / duplicate inputs"))</x:f>
      </x:c>
    </x:row>
    <x:row r="73" ht="25" customHeight="1">
      <x:c r="A73" s="11"/>
      <x:c r="B73" s="10"/>
      <x:c r="C73" s="10"/>
      <x:c r="D73" s="10"/>
      <x:c r="E73" s="10"/>
      <x:c r="F73" s="10"/>
      <x:c r="G73" s="14"/>
      <x:c r="H73" s="14"/>
      <x:c r="I73" s="14"/>
      <x:c r="J73" s="14"/>
      <x:c r="K73" s="10"/>
      <x:c r="L73" s="10"/>
      <x:c r="M73" s="10"/>
      <x:c r="N73" s="10"/>
      <x:c r="O73" s="1" t="str">
        <x:f>IF(COUNTA(A73:N73)=0,"",IF(AND(ISNUMBER(A73),B73&lt;&gt;"",C73&lt;&gt;"",D73&lt;&gt;"",E73&lt;&gt;"",F73="USD",ISNUMBER(G73),OR(H73="YES",H73="NO"),K73&lt;&gt;"",L73&lt;&gt;"",N73&lt;&gt;"",COUNTIFS($A$8:$A$207,A73,$B$8:$B$207,B73,$E$8:$E$207,E73)=1),"READY","Resolve missing / duplicate inputs"))</x:f>
      </x:c>
    </x:row>
    <x:row r="74" ht="25" customHeight="1">
      <x:c r="A74" s="11"/>
      <x:c r="B74" s="10"/>
      <x:c r="C74" s="10"/>
      <x:c r="D74" s="10"/>
      <x:c r="E74" s="10"/>
      <x:c r="F74" s="10"/>
      <x:c r="G74" s="14"/>
      <x:c r="H74" s="14"/>
      <x:c r="I74" s="14"/>
      <x:c r="J74" s="14"/>
      <x:c r="K74" s="10"/>
      <x:c r="L74" s="10"/>
      <x:c r="M74" s="10"/>
      <x:c r="N74" s="10"/>
      <x:c r="O74" s="1" t="str">
        <x:f>IF(COUNTA(A74:N74)=0,"",IF(AND(ISNUMBER(A74),B74&lt;&gt;"",C74&lt;&gt;"",D74&lt;&gt;"",E74&lt;&gt;"",F74="USD",ISNUMBER(G74),OR(H74="YES",H74="NO"),K74&lt;&gt;"",L74&lt;&gt;"",N74&lt;&gt;"",COUNTIFS($A$8:$A$207,A74,$B$8:$B$207,B74,$E$8:$E$207,E74)=1),"READY","Resolve missing / duplicate inputs"))</x:f>
      </x:c>
    </x:row>
    <x:row r="75" ht="25" customHeight="1">
      <x:c r="A75" s="11"/>
      <x:c r="B75" s="10"/>
      <x:c r="C75" s="10"/>
      <x:c r="D75" s="10"/>
      <x:c r="E75" s="10"/>
      <x:c r="F75" s="10"/>
      <x:c r="G75" s="14"/>
      <x:c r="H75" s="14"/>
      <x:c r="I75" s="14"/>
      <x:c r="J75" s="14"/>
      <x:c r="K75" s="10"/>
      <x:c r="L75" s="10"/>
      <x:c r="M75" s="10"/>
      <x:c r="N75" s="10"/>
      <x:c r="O75" s="1" t="str">
        <x:f>IF(COUNTA(A75:N75)=0,"",IF(AND(ISNUMBER(A75),B75&lt;&gt;"",C75&lt;&gt;"",D75&lt;&gt;"",E75&lt;&gt;"",F75="USD",ISNUMBER(G75),OR(H75="YES",H75="NO"),K75&lt;&gt;"",L75&lt;&gt;"",N75&lt;&gt;"",COUNTIFS($A$8:$A$207,A75,$B$8:$B$207,B75,$E$8:$E$207,E75)=1),"READY","Resolve missing / duplicate inputs"))</x:f>
      </x:c>
    </x:row>
    <x:row r="76" ht="25" customHeight="1">
      <x:c r="A76" s="11"/>
      <x:c r="B76" s="10"/>
      <x:c r="C76" s="10"/>
      <x:c r="D76" s="10"/>
      <x:c r="E76" s="10"/>
      <x:c r="F76" s="10"/>
      <x:c r="G76" s="14"/>
      <x:c r="H76" s="14"/>
      <x:c r="I76" s="14"/>
      <x:c r="J76" s="14"/>
      <x:c r="K76" s="10"/>
      <x:c r="L76" s="10"/>
      <x:c r="M76" s="10"/>
      <x:c r="N76" s="10"/>
      <x:c r="O76" s="1" t="str">
        <x:f>IF(COUNTA(A76:N76)=0,"",IF(AND(ISNUMBER(A76),B76&lt;&gt;"",C76&lt;&gt;"",D76&lt;&gt;"",E76&lt;&gt;"",F76="USD",ISNUMBER(G76),OR(H76="YES",H76="NO"),K76&lt;&gt;"",L76&lt;&gt;"",N76&lt;&gt;"",COUNTIFS($A$8:$A$207,A76,$B$8:$B$207,B76,$E$8:$E$207,E76)=1),"READY","Resolve missing / duplicate inputs"))</x:f>
      </x:c>
    </x:row>
    <x:row r="77" ht="25" customHeight="1">
      <x:c r="A77" s="11"/>
      <x:c r="B77" s="10"/>
      <x:c r="C77" s="10"/>
      <x:c r="D77" s="10"/>
      <x:c r="E77" s="10"/>
      <x:c r="F77" s="10"/>
      <x:c r="G77" s="14"/>
      <x:c r="H77" s="14"/>
      <x:c r="I77" s="14"/>
      <x:c r="J77" s="14"/>
      <x:c r="K77" s="10"/>
      <x:c r="L77" s="10"/>
      <x:c r="M77" s="10"/>
      <x:c r="N77" s="10"/>
      <x:c r="O77" s="1" t="str">
        <x:f>IF(COUNTA(A77:N77)=0,"",IF(AND(ISNUMBER(A77),B77&lt;&gt;"",C77&lt;&gt;"",D77&lt;&gt;"",E77&lt;&gt;"",F77="USD",ISNUMBER(G77),OR(H77="YES",H77="NO"),K77&lt;&gt;"",L77&lt;&gt;"",N77&lt;&gt;"",COUNTIFS($A$8:$A$207,A77,$B$8:$B$207,B77,$E$8:$E$207,E77)=1),"READY","Resolve missing / duplicate inputs"))</x:f>
      </x:c>
    </x:row>
    <x:row r="78" ht="25" customHeight="1">
      <x:c r="A78" s="11"/>
      <x:c r="B78" s="10"/>
      <x:c r="C78" s="10"/>
      <x:c r="D78" s="10"/>
      <x:c r="E78" s="10"/>
      <x:c r="F78" s="10"/>
      <x:c r="G78" s="14"/>
      <x:c r="H78" s="14"/>
      <x:c r="I78" s="14"/>
      <x:c r="J78" s="14"/>
      <x:c r="K78" s="10"/>
      <x:c r="L78" s="10"/>
      <x:c r="M78" s="10"/>
      <x:c r="N78" s="10"/>
      <x:c r="O78" s="1" t="str">
        <x:f>IF(COUNTA(A78:N78)=0,"",IF(AND(ISNUMBER(A78),B78&lt;&gt;"",C78&lt;&gt;"",D78&lt;&gt;"",E78&lt;&gt;"",F78="USD",ISNUMBER(G78),OR(H78="YES",H78="NO"),K78&lt;&gt;"",L78&lt;&gt;"",N78&lt;&gt;"",COUNTIFS($A$8:$A$207,A78,$B$8:$B$207,B78,$E$8:$E$207,E78)=1),"READY","Resolve missing / duplicate inputs"))</x:f>
      </x:c>
    </x:row>
    <x:row r="79" ht="25" customHeight="1">
      <x:c r="A79" s="11"/>
      <x:c r="B79" s="10"/>
      <x:c r="C79" s="10"/>
      <x:c r="D79" s="10"/>
      <x:c r="E79" s="10"/>
      <x:c r="F79" s="10"/>
      <x:c r="G79" s="14"/>
      <x:c r="H79" s="14"/>
      <x:c r="I79" s="14"/>
      <x:c r="J79" s="14"/>
      <x:c r="K79" s="10"/>
      <x:c r="L79" s="10"/>
      <x:c r="M79" s="10"/>
      <x:c r="N79" s="10"/>
      <x:c r="O79" s="1" t="str">
        <x:f>IF(COUNTA(A79:N79)=0,"",IF(AND(ISNUMBER(A79),B79&lt;&gt;"",C79&lt;&gt;"",D79&lt;&gt;"",E79&lt;&gt;"",F79="USD",ISNUMBER(G79),OR(H79="YES",H79="NO"),K79&lt;&gt;"",L79&lt;&gt;"",N79&lt;&gt;"",COUNTIFS($A$8:$A$207,A79,$B$8:$B$207,B79,$E$8:$E$207,E79)=1),"READY","Resolve missing / duplicate inputs"))</x:f>
      </x:c>
    </x:row>
    <x:row r="80" ht="25" customHeight="1">
      <x:c r="A80" s="11"/>
      <x:c r="B80" s="10"/>
      <x:c r="C80" s="10"/>
      <x:c r="D80" s="10"/>
      <x:c r="E80" s="10"/>
      <x:c r="F80" s="10"/>
      <x:c r="G80" s="14"/>
      <x:c r="H80" s="14"/>
      <x:c r="I80" s="14"/>
      <x:c r="J80" s="14"/>
      <x:c r="K80" s="10"/>
      <x:c r="L80" s="10"/>
      <x:c r="M80" s="10"/>
      <x:c r="N80" s="10"/>
      <x:c r="O80" s="1" t="str">
        <x:f>IF(COUNTA(A80:N80)=0,"",IF(AND(ISNUMBER(A80),B80&lt;&gt;"",C80&lt;&gt;"",D80&lt;&gt;"",E80&lt;&gt;"",F80="USD",ISNUMBER(G80),OR(H80="YES",H80="NO"),K80&lt;&gt;"",L80&lt;&gt;"",N80&lt;&gt;"",COUNTIFS($A$8:$A$207,A80,$B$8:$B$207,B80,$E$8:$E$207,E80)=1),"READY","Resolve missing / duplicate inputs"))</x:f>
      </x:c>
    </x:row>
    <x:row r="81" ht="25" customHeight="1">
      <x:c r="A81" s="11"/>
      <x:c r="B81" s="10"/>
      <x:c r="C81" s="10"/>
      <x:c r="D81" s="10"/>
      <x:c r="E81" s="10"/>
      <x:c r="F81" s="10"/>
      <x:c r="G81" s="14"/>
      <x:c r="H81" s="14"/>
      <x:c r="I81" s="14"/>
      <x:c r="J81" s="14"/>
      <x:c r="K81" s="10"/>
      <x:c r="L81" s="10"/>
      <x:c r="M81" s="10"/>
      <x:c r="N81" s="10"/>
      <x:c r="O81" s="1" t="str">
        <x:f>IF(COUNTA(A81:N81)=0,"",IF(AND(ISNUMBER(A81),B81&lt;&gt;"",C81&lt;&gt;"",D81&lt;&gt;"",E81&lt;&gt;"",F81="USD",ISNUMBER(G81),OR(H81="YES",H81="NO"),K81&lt;&gt;"",L81&lt;&gt;"",N81&lt;&gt;"",COUNTIFS($A$8:$A$207,A81,$B$8:$B$207,B81,$E$8:$E$207,E81)=1),"READY","Resolve missing / duplicate inputs"))</x:f>
      </x:c>
    </x:row>
    <x:row r="82" ht="25" customHeight="1">
      <x:c r="A82" s="11"/>
      <x:c r="B82" s="10"/>
      <x:c r="C82" s="10"/>
      <x:c r="D82" s="10"/>
      <x:c r="E82" s="10"/>
      <x:c r="F82" s="10"/>
      <x:c r="G82" s="14"/>
      <x:c r="H82" s="14"/>
      <x:c r="I82" s="14"/>
      <x:c r="J82" s="14"/>
      <x:c r="K82" s="10"/>
      <x:c r="L82" s="10"/>
      <x:c r="M82" s="10"/>
      <x:c r="N82" s="10"/>
      <x:c r="O82" s="1" t="str">
        <x:f>IF(COUNTA(A82:N82)=0,"",IF(AND(ISNUMBER(A82),B82&lt;&gt;"",C82&lt;&gt;"",D82&lt;&gt;"",E82&lt;&gt;"",F82="USD",ISNUMBER(G82),OR(H82="YES",H82="NO"),K82&lt;&gt;"",L82&lt;&gt;"",N82&lt;&gt;"",COUNTIFS($A$8:$A$207,A82,$B$8:$B$207,B82,$E$8:$E$207,E82)=1),"READY","Resolve missing / duplicate inputs"))</x:f>
      </x:c>
    </x:row>
    <x:row r="83" ht="25" customHeight="1">
      <x:c r="A83" s="11"/>
      <x:c r="B83" s="10"/>
      <x:c r="C83" s="10"/>
      <x:c r="D83" s="10"/>
      <x:c r="E83" s="10"/>
      <x:c r="F83" s="10"/>
      <x:c r="G83" s="14"/>
      <x:c r="H83" s="14"/>
      <x:c r="I83" s="14"/>
      <x:c r="J83" s="14"/>
      <x:c r="K83" s="10"/>
      <x:c r="L83" s="10"/>
      <x:c r="M83" s="10"/>
      <x:c r="N83" s="10"/>
      <x:c r="O83" s="1" t="str">
        <x:f>IF(COUNTA(A83:N83)=0,"",IF(AND(ISNUMBER(A83),B83&lt;&gt;"",C83&lt;&gt;"",D83&lt;&gt;"",E83&lt;&gt;"",F83="USD",ISNUMBER(G83),OR(H83="YES",H83="NO"),K83&lt;&gt;"",L83&lt;&gt;"",N83&lt;&gt;"",COUNTIFS($A$8:$A$207,A83,$B$8:$B$207,B83,$E$8:$E$207,E83)=1),"READY","Resolve missing / duplicate inputs"))</x:f>
      </x:c>
    </x:row>
    <x:row r="84" ht="25" customHeight="1">
      <x:c r="A84" s="11"/>
      <x:c r="B84" s="10"/>
      <x:c r="C84" s="10"/>
      <x:c r="D84" s="10"/>
      <x:c r="E84" s="10"/>
      <x:c r="F84" s="10"/>
      <x:c r="G84" s="14"/>
      <x:c r="H84" s="14"/>
      <x:c r="I84" s="14"/>
      <x:c r="J84" s="14"/>
      <x:c r="K84" s="10"/>
      <x:c r="L84" s="10"/>
      <x:c r="M84" s="10"/>
      <x:c r="N84" s="10"/>
      <x:c r="O84" s="1" t="str">
        <x:f>IF(COUNTA(A84:N84)=0,"",IF(AND(ISNUMBER(A84),B84&lt;&gt;"",C84&lt;&gt;"",D84&lt;&gt;"",E84&lt;&gt;"",F84="USD",ISNUMBER(G84),OR(H84="YES",H84="NO"),K84&lt;&gt;"",L84&lt;&gt;"",N84&lt;&gt;"",COUNTIFS($A$8:$A$207,A84,$B$8:$B$207,B84,$E$8:$E$207,E84)=1),"READY","Resolve missing / duplicate inputs"))</x:f>
      </x:c>
    </x:row>
    <x:row r="85" ht="25" customHeight="1">
      <x:c r="A85" s="11"/>
      <x:c r="B85" s="10"/>
      <x:c r="C85" s="10"/>
      <x:c r="D85" s="10"/>
      <x:c r="E85" s="10"/>
      <x:c r="F85" s="10"/>
      <x:c r="G85" s="14"/>
      <x:c r="H85" s="14"/>
      <x:c r="I85" s="14"/>
      <x:c r="J85" s="14"/>
      <x:c r="K85" s="10"/>
      <x:c r="L85" s="10"/>
      <x:c r="M85" s="10"/>
      <x:c r="N85" s="10"/>
      <x:c r="O85" s="1" t="str">
        <x:f>IF(COUNTA(A85:N85)=0,"",IF(AND(ISNUMBER(A85),B85&lt;&gt;"",C85&lt;&gt;"",D85&lt;&gt;"",E85&lt;&gt;"",F85="USD",ISNUMBER(G85),OR(H85="YES",H85="NO"),K85&lt;&gt;"",L85&lt;&gt;"",N85&lt;&gt;"",COUNTIFS($A$8:$A$207,A85,$B$8:$B$207,B85,$E$8:$E$207,E85)=1),"READY","Resolve missing / duplicate inputs"))</x:f>
      </x:c>
    </x:row>
    <x:row r="86" ht="25" customHeight="1">
      <x:c r="A86" s="11"/>
      <x:c r="B86" s="10"/>
      <x:c r="C86" s="10"/>
      <x:c r="D86" s="10"/>
      <x:c r="E86" s="10"/>
      <x:c r="F86" s="10"/>
      <x:c r="G86" s="14"/>
      <x:c r="H86" s="14"/>
      <x:c r="I86" s="14"/>
      <x:c r="J86" s="14"/>
      <x:c r="K86" s="10"/>
      <x:c r="L86" s="10"/>
      <x:c r="M86" s="10"/>
      <x:c r="N86" s="10"/>
      <x:c r="O86" s="1" t="str">
        <x:f>IF(COUNTA(A86:N86)=0,"",IF(AND(ISNUMBER(A86),B86&lt;&gt;"",C86&lt;&gt;"",D86&lt;&gt;"",E86&lt;&gt;"",F86="USD",ISNUMBER(G86),OR(H86="YES",H86="NO"),K86&lt;&gt;"",L86&lt;&gt;"",N86&lt;&gt;"",COUNTIFS($A$8:$A$207,A86,$B$8:$B$207,B86,$E$8:$E$207,E86)=1),"READY","Resolve missing / duplicate inputs"))</x:f>
      </x:c>
    </x:row>
    <x:row r="87" ht="25" customHeight="1">
      <x:c r="A87" s="11"/>
      <x:c r="B87" s="10"/>
      <x:c r="C87" s="10"/>
      <x:c r="D87" s="10"/>
      <x:c r="E87" s="10"/>
      <x:c r="F87" s="10"/>
      <x:c r="G87" s="14"/>
      <x:c r="H87" s="14"/>
      <x:c r="I87" s="14"/>
      <x:c r="J87" s="14"/>
      <x:c r="K87" s="10"/>
      <x:c r="L87" s="10"/>
      <x:c r="M87" s="10"/>
      <x:c r="N87" s="10"/>
      <x:c r="O87" s="1" t="str">
        <x:f>IF(COUNTA(A87:N87)=0,"",IF(AND(ISNUMBER(A87),B87&lt;&gt;"",C87&lt;&gt;"",D87&lt;&gt;"",E87&lt;&gt;"",F87="USD",ISNUMBER(G87),OR(H87="YES",H87="NO"),K87&lt;&gt;"",L87&lt;&gt;"",N87&lt;&gt;"",COUNTIFS($A$8:$A$207,A87,$B$8:$B$207,B87,$E$8:$E$207,E87)=1),"READY","Resolve missing / duplicate inputs"))</x:f>
      </x:c>
    </x:row>
    <x:row r="88" ht="25" customHeight="1">
      <x:c r="A88" s="11"/>
      <x:c r="B88" s="10"/>
      <x:c r="C88" s="10"/>
      <x:c r="D88" s="10"/>
      <x:c r="E88" s="10"/>
      <x:c r="F88" s="10"/>
      <x:c r="G88" s="14"/>
      <x:c r="H88" s="14"/>
      <x:c r="I88" s="14"/>
      <x:c r="J88" s="14"/>
      <x:c r="K88" s="10"/>
      <x:c r="L88" s="10"/>
      <x:c r="M88" s="10"/>
      <x:c r="N88" s="10"/>
      <x:c r="O88" s="1" t="str">
        <x:f>IF(COUNTA(A88:N88)=0,"",IF(AND(ISNUMBER(A88),B88&lt;&gt;"",C88&lt;&gt;"",D88&lt;&gt;"",E88&lt;&gt;"",F88="USD",ISNUMBER(G88),OR(H88="YES",H88="NO"),K88&lt;&gt;"",L88&lt;&gt;"",N88&lt;&gt;"",COUNTIFS($A$8:$A$207,A88,$B$8:$B$207,B88,$E$8:$E$207,E88)=1),"READY","Resolve missing / duplicate inputs"))</x:f>
      </x:c>
    </x:row>
    <x:row r="89" ht="25" customHeight="1">
      <x:c r="A89" s="11"/>
      <x:c r="B89" s="10"/>
      <x:c r="C89" s="10"/>
      <x:c r="D89" s="10"/>
      <x:c r="E89" s="10"/>
      <x:c r="F89" s="10"/>
      <x:c r="G89" s="14"/>
      <x:c r="H89" s="14"/>
      <x:c r="I89" s="14"/>
      <x:c r="J89" s="14"/>
      <x:c r="K89" s="10"/>
      <x:c r="L89" s="10"/>
      <x:c r="M89" s="10"/>
      <x:c r="N89" s="10"/>
      <x:c r="O89" s="1" t="str">
        <x:f>IF(COUNTA(A89:N89)=0,"",IF(AND(ISNUMBER(A89),B89&lt;&gt;"",C89&lt;&gt;"",D89&lt;&gt;"",E89&lt;&gt;"",F89="USD",ISNUMBER(G89),OR(H89="YES",H89="NO"),K89&lt;&gt;"",L89&lt;&gt;"",N89&lt;&gt;"",COUNTIFS($A$8:$A$207,A89,$B$8:$B$207,B89,$E$8:$E$207,E89)=1),"READY","Resolve missing / duplicate inputs"))</x:f>
      </x:c>
    </x:row>
    <x:row r="90" ht="25" customHeight="1">
      <x:c r="A90" s="11"/>
      <x:c r="B90" s="10"/>
      <x:c r="C90" s="10"/>
      <x:c r="D90" s="10"/>
      <x:c r="E90" s="10"/>
      <x:c r="F90" s="10"/>
      <x:c r="G90" s="14"/>
      <x:c r="H90" s="14"/>
      <x:c r="I90" s="14"/>
      <x:c r="J90" s="14"/>
      <x:c r="K90" s="10"/>
      <x:c r="L90" s="10"/>
      <x:c r="M90" s="10"/>
      <x:c r="N90" s="10"/>
      <x:c r="O90" s="1" t="str">
        <x:f>IF(COUNTA(A90:N90)=0,"",IF(AND(ISNUMBER(A90),B90&lt;&gt;"",C90&lt;&gt;"",D90&lt;&gt;"",E90&lt;&gt;"",F90="USD",ISNUMBER(G90),OR(H90="YES",H90="NO"),K90&lt;&gt;"",L90&lt;&gt;"",N90&lt;&gt;"",COUNTIFS($A$8:$A$207,A90,$B$8:$B$207,B90,$E$8:$E$207,E90)=1),"READY","Resolve missing / duplicate inputs"))</x:f>
      </x:c>
    </x:row>
    <x:row r="91" ht="25" customHeight="1">
      <x:c r="A91" s="11"/>
      <x:c r="B91" s="10"/>
      <x:c r="C91" s="10"/>
      <x:c r="D91" s="10"/>
      <x:c r="E91" s="10"/>
      <x:c r="F91" s="10"/>
      <x:c r="G91" s="14"/>
      <x:c r="H91" s="14"/>
      <x:c r="I91" s="14"/>
      <x:c r="J91" s="14"/>
      <x:c r="K91" s="10"/>
      <x:c r="L91" s="10"/>
      <x:c r="M91" s="10"/>
      <x:c r="N91" s="10"/>
      <x:c r="O91" s="1" t="str">
        <x:f>IF(COUNTA(A91:N91)=0,"",IF(AND(ISNUMBER(A91),B91&lt;&gt;"",C91&lt;&gt;"",D91&lt;&gt;"",E91&lt;&gt;"",F91="USD",ISNUMBER(G91),OR(H91="YES",H91="NO"),K91&lt;&gt;"",L91&lt;&gt;"",N91&lt;&gt;"",COUNTIFS($A$8:$A$207,A91,$B$8:$B$207,B91,$E$8:$E$207,E91)=1),"READY","Resolve missing / duplicate inputs"))</x:f>
      </x:c>
    </x:row>
    <x:row r="92" ht="25" customHeight="1">
      <x:c r="A92" s="11"/>
      <x:c r="B92" s="10"/>
      <x:c r="C92" s="10"/>
      <x:c r="D92" s="10"/>
      <x:c r="E92" s="10"/>
      <x:c r="F92" s="10"/>
      <x:c r="G92" s="14"/>
      <x:c r="H92" s="14"/>
      <x:c r="I92" s="14"/>
      <x:c r="J92" s="14"/>
      <x:c r="K92" s="10"/>
      <x:c r="L92" s="10"/>
      <x:c r="M92" s="10"/>
      <x:c r="N92" s="10"/>
      <x:c r="O92" s="1" t="str">
        <x:f>IF(COUNTA(A92:N92)=0,"",IF(AND(ISNUMBER(A92),B92&lt;&gt;"",C92&lt;&gt;"",D92&lt;&gt;"",E92&lt;&gt;"",F92="USD",ISNUMBER(G92),OR(H92="YES",H92="NO"),K92&lt;&gt;"",L92&lt;&gt;"",N92&lt;&gt;"",COUNTIFS($A$8:$A$207,A92,$B$8:$B$207,B92,$E$8:$E$207,E92)=1),"READY","Resolve missing / duplicate inputs"))</x:f>
      </x:c>
    </x:row>
    <x:row r="93" ht="25" customHeight="1">
      <x:c r="A93" s="11"/>
      <x:c r="B93" s="10"/>
      <x:c r="C93" s="10"/>
      <x:c r="D93" s="10"/>
      <x:c r="E93" s="10"/>
      <x:c r="F93" s="10"/>
      <x:c r="G93" s="14"/>
      <x:c r="H93" s="14"/>
      <x:c r="I93" s="14"/>
      <x:c r="J93" s="14"/>
      <x:c r="K93" s="10"/>
      <x:c r="L93" s="10"/>
      <x:c r="M93" s="10"/>
      <x:c r="N93" s="10"/>
      <x:c r="O93" s="1" t="str">
        <x:f>IF(COUNTA(A93:N93)=0,"",IF(AND(ISNUMBER(A93),B93&lt;&gt;"",C93&lt;&gt;"",D93&lt;&gt;"",E93&lt;&gt;"",F93="USD",ISNUMBER(G93),OR(H93="YES",H93="NO"),K93&lt;&gt;"",L93&lt;&gt;"",N93&lt;&gt;"",COUNTIFS($A$8:$A$207,A93,$B$8:$B$207,B93,$E$8:$E$207,E93)=1),"READY","Resolve missing / duplicate inputs"))</x:f>
      </x:c>
    </x:row>
    <x:row r="94" ht="25" customHeight="1">
      <x:c r="A94" s="11"/>
      <x:c r="B94" s="10"/>
      <x:c r="C94" s="10"/>
      <x:c r="D94" s="10"/>
      <x:c r="E94" s="10"/>
      <x:c r="F94" s="10"/>
      <x:c r="G94" s="14"/>
      <x:c r="H94" s="14"/>
      <x:c r="I94" s="14"/>
      <x:c r="J94" s="14"/>
      <x:c r="K94" s="10"/>
      <x:c r="L94" s="10"/>
      <x:c r="M94" s="10"/>
      <x:c r="N94" s="10"/>
      <x:c r="O94" s="1" t="str">
        <x:f>IF(COUNTA(A94:N94)=0,"",IF(AND(ISNUMBER(A94),B94&lt;&gt;"",C94&lt;&gt;"",D94&lt;&gt;"",E94&lt;&gt;"",F94="USD",ISNUMBER(G94),OR(H94="YES",H94="NO"),K94&lt;&gt;"",L94&lt;&gt;"",N94&lt;&gt;"",COUNTIFS($A$8:$A$207,A94,$B$8:$B$207,B94,$E$8:$E$207,E94)=1),"READY","Resolve missing / duplicate inputs"))</x:f>
      </x:c>
    </x:row>
    <x:row r="95" ht="25" customHeight="1">
      <x:c r="A95" s="11"/>
      <x:c r="B95" s="10"/>
      <x:c r="C95" s="10"/>
      <x:c r="D95" s="10"/>
      <x:c r="E95" s="10"/>
      <x:c r="F95" s="10"/>
      <x:c r="G95" s="14"/>
      <x:c r="H95" s="14"/>
      <x:c r="I95" s="14"/>
      <x:c r="J95" s="14"/>
      <x:c r="K95" s="10"/>
      <x:c r="L95" s="10"/>
      <x:c r="M95" s="10"/>
      <x:c r="N95" s="10"/>
      <x:c r="O95" s="1" t="str">
        <x:f>IF(COUNTA(A95:N95)=0,"",IF(AND(ISNUMBER(A95),B95&lt;&gt;"",C95&lt;&gt;"",D95&lt;&gt;"",E95&lt;&gt;"",F95="USD",ISNUMBER(G95),OR(H95="YES",H95="NO"),K95&lt;&gt;"",L95&lt;&gt;"",N95&lt;&gt;"",COUNTIFS($A$8:$A$207,A95,$B$8:$B$207,B95,$E$8:$E$207,E95)=1),"READY","Resolve missing / duplicate inputs"))</x:f>
      </x:c>
    </x:row>
    <x:row r="96" ht="25" customHeight="1">
      <x:c r="A96" s="11"/>
      <x:c r="B96" s="10"/>
      <x:c r="C96" s="10"/>
      <x:c r="D96" s="10"/>
      <x:c r="E96" s="10"/>
      <x:c r="F96" s="10"/>
      <x:c r="G96" s="14"/>
      <x:c r="H96" s="14"/>
      <x:c r="I96" s="14"/>
      <x:c r="J96" s="14"/>
      <x:c r="K96" s="10"/>
      <x:c r="L96" s="10"/>
      <x:c r="M96" s="10"/>
      <x:c r="N96" s="10"/>
      <x:c r="O96" s="1" t="str">
        <x:f>IF(COUNTA(A96:N96)=0,"",IF(AND(ISNUMBER(A96),B96&lt;&gt;"",C96&lt;&gt;"",D96&lt;&gt;"",E96&lt;&gt;"",F96="USD",ISNUMBER(G96),OR(H96="YES",H96="NO"),K96&lt;&gt;"",L96&lt;&gt;"",N96&lt;&gt;"",COUNTIFS($A$8:$A$207,A96,$B$8:$B$207,B96,$E$8:$E$207,E96)=1),"READY","Resolve missing / duplicate inputs"))</x:f>
      </x:c>
    </x:row>
    <x:row r="97" ht="25" customHeight="1">
      <x:c r="A97" s="11"/>
      <x:c r="B97" s="10"/>
      <x:c r="C97" s="10"/>
      <x:c r="D97" s="10"/>
      <x:c r="E97" s="10"/>
      <x:c r="F97" s="10"/>
      <x:c r="G97" s="14"/>
      <x:c r="H97" s="14"/>
      <x:c r="I97" s="14"/>
      <x:c r="J97" s="14"/>
      <x:c r="K97" s="10"/>
      <x:c r="L97" s="10"/>
      <x:c r="M97" s="10"/>
      <x:c r="N97" s="10"/>
      <x:c r="O97" s="1" t="str">
        <x:f>IF(COUNTA(A97:N97)=0,"",IF(AND(ISNUMBER(A97),B97&lt;&gt;"",C97&lt;&gt;"",D97&lt;&gt;"",E97&lt;&gt;"",F97="USD",ISNUMBER(G97),OR(H97="YES",H97="NO"),K97&lt;&gt;"",L97&lt;&gt;"",N97&lt;&gt;"",COUNTIFS($A$8:$A$207,A97,$B$8:$B$207,B97,$E$8:$E$207,E97)=1),"READY","Resolve missing / duplicate inputs"))</x:f>
      </x:c>
    </x:row>
    <x:row r="98" ht="25" customHeight="1">
      <x:c r="A98" s="11"/>
      <x:c r="B98" s="10"/>
      <x:c r="C98" s="10"/>
      <x:c r="D98" s="10"/>
      <x:c r="E98" s="10"/>
      <x:c r="F98" s="10"/>
      <x:c r="G98" s="14"/>
      <x:c r="H98" s="14"/>
      <x:c r="I98" s="14"/>
      <x:c r="J98" s="14"/>
      <x:c r="K98" s="10"/>
      <x:c r="L98" s="10"/>
      <x:c r="M98" s="10"/>
      <x:c r="N98" s="10"/>
      <x:c r="O98" s="1" t="str">
        <x:f>IF(COUNTA(A98:N98)=0,"",IF(AND(ISNUMBER(A98),B98&lt;&gt;"",C98&lt;&gt;"",D98&lt;&gt;"",E98&lt;&gt;"",F98="USD",ISNUMBER(G98),OR(H98="YES",H98="NO"),K98&lt;&gt;"",L98&lt;&gt;"",N98&lt;&gt;"",COUNTIFS($A$8:$A$207,A98,$B$8:$B$207,B98,$E$8:$E$207,E98)=1),"READY","Resolve missing / duplicate inputs"))</x:f>
      </x:c>
    </x:row>
    <x:row r="99" ht="25" customHeight="1">
      <x:c r="A99" s="11"/>
      <x:c r="B99" s="10"/>
      <x:c r="C99" s="10"/>
      <x:c r="D99" s="10"/>
      <x:c r="E99" s="10"/>
      <x:c r="F99" s="10"/>
      <x:c r="G99" s="14"/>
      <x:c r="H99" s="14"/>
      <x:c r="I99" s="14"/>
      <x:c r="J99" s="14"/>
      <x:c r="K99" s="10"/>
      <x:c r="L99" s="10"/>
      <x:c r="M99" s="10"/>
      <x:c r="N99" s="10"/>
      <x:c r="O99" s="1" t="str">
        <x:f>IF(COUNTA(A99:N99)=0,"",IF(AND(ISNUMBER(A99),B99&lt;&gt;"",C99&lt;&gt;"",D99&lt;&gt;"",E99&lt;&gt;"",F99="USD",ISNUMBER(G99),OR(H99="YES",H99="NO"),K99&lt;&gt;"",L99&lt;&gt;"",N99&lt;&gt;"",COUNTIFS($A$8:$A$207,A99,$B$8:$B$207,B99,$E$8:$E$207,E99)=1),"READY","Resolve missing / duplicate inputs"))</x:f>
      </x:c>
    </x:row>
    <x:row r="100" ht="25" customHeight="1">
      <x:c r="A100" s="11"/>
      <x:c r="B100" s="10"/>
      <x:c r="C100" s="10"/>
      <x:c r="D100" s="10"/>
      <x:c r="E100" s="10"/>
      <x:c r="F100" s="10"/>
      <x:c r="G100" s="14"/>
      <x:c r="H100" s="14"/>
      <x:c r="I100" s="14"/>
      <x:c r="J100" s="14"/>
      <x:c r="K100" s="10"/>
      <x:c r="L100" s="10"/>
      <x:c r="M100" s="10"/>
      <x:c r="N100" s="10"/>
      <x:c r="O100" s="1" t="str">
        <x:f>IF(COUNTA(A100:N100)=0,"",IF(AND(ISNUMBER(A100),B100&lt;&gt;"",C100&lt;&gt;"",D100&lt;&gt;"",E100&lt;&gt;"",F100="USD",ISNUMBER(G100),OR(H100="YES",H100="NO"),K100&lt;&gt;"",L100&lt;&gt;"",N100&lt;&gt;"",COUNTIFS($A$8:$A$207,A100,$B$8:$B$207,B100,$E$8:$E$207,E100)=1),"READY","Resolve missing / duplicate inputs"))</x:f>
      </x:c>
    </x:row>
    <x:row r="101" ht="25" customHeight="1">
      <x:c r="A101" s="11"/>
      <x:c r="B101" s="10"/>
      <x:c r="C101" s="10"/>
      <x:c r="D101" s="10"/>
      <x:c r="E101" s="10"/>
      <x:c r="F101" s="10"/>
      <x:c r="G101" s="14"/>
      <x:c r="H101" s="14"/>
      <x:c r="I101" s="14"/>
      <x:c r="J101" s="14"/>
      <x:c r="K101" s="10"/>
      <x:c r="L101" s="10"/>
      <x:c r="M101" s="10"/>
      <x:c r="N101" s="10"/>
      <x:c r="O101" s="1" t="str">
        <x:f>IF(COUNTA(A101:N101)=0,"",IF(AND(ISNUMBER(A101),B101&lt;&gt;"",C101&lt;&gt;"",D101&lt;&gt;"",E101&lt;&gt;"",F101="USD",ISNUMBER(G101),OR(H101="YES",H101="NO"),K101&lt;&gt;"",L101&lt;&gt;"",N101&lt;&gt;"",COUNTIFS($A$8:$A$207,A101,$B$8:$B$207,B101,$E$8:$E$207,E101)=1),"READY","Resolve missing / duplicate inputs"))</x:f>
      </x:c>
    </x:row>
    <x:row r="102" ht="25" customHeight="1">
      <x:c r="A102" s="11"/>
      <x:c r="B102" s="10"/>
      <x:c r="C102" s="10"/>
      <x:c r="D102" s="10"/>
      <x:c r="E102" s="10"/>
      <x:c r="F102" s="10"/>
      <x:c r="G102" s="14"/>
      <x:c r="H102" s="14"/>
      <x:c r="I102" s="14"/>
      <x:c r="J102" s="14"/>
      <x:c r="K102" s="10"/>
      <x:c r="L102" s="10"/>
      <x:c r="M102" s="10"/>
      <x:c r="N102" s="10"/>
      <x:c r="O102" s="1" t="str">
        <x:f>IF(COUNTA(A102:N102)=0,"",IF(AND(ISNUMBER(A102),B102&lt;&gt;"",C102&lt;&gt;"",D102&lt;&gt;"",E102&lt;&gt;"",F102="USD",ISNUMBER(G102),OR(H102="YES",H102="NO"),K102&lt;&gt;"",L102&lt;&gt;"",N102&lt;&gt;"",COUNTIFS($A$8:$A$207,A102,$B$8:$B$207,B102,$E$8:$E$207,E102)=1),"READY","Resolve missing / duplicate inputs"))</x:f>
      </x:c>
    </x:row>
    <x:row r="103" ht="25" customHeight="1">
      <x:c r="A103" s="11"/>
      <x:c r="B103" s="10"/>
      <x:c r="C103" s="10"/>
      <x:c r="D103" s="10"/>
      <x:c r="E103" s="10"/>
      <x:c r="F103" s="10"/>
      <x:c r="G103" s="14"/>
      <x:c r="H103" s="14"/>
      <x:c r="I103" s="14"/>
      <x:c r="J103" s="14"/>
      <x:c r="K103" s="10"/>
      <x:c r="L103" s="10"/>
      <x:c r="M103" s="10"/>
      <x:c r="N103" s="10"/>
      <x:c r="O103" s="1" t="str">
        <x:f>IF(COUNTA(A103:N103)=0,"",IF(AND(ISNUMBER(A103),B103&lt;&gt;"",C103&lt;&gt;"",D103&lt;&gt;"",E103&lt;&gt;"",F103="USD",ISNUMBER(G103),OR(H103="YES",H103="NO"),K103&lt;&gt;"",L103&lt;&gt;"",N103&lt;&gt;"",COUNTIFS($A$8:$A$207,A103,$B$8:$B$207,B103,$E$8:$E$207,E103)=1),"READY","Resolve missing / duplicate inputs"))</x:f>
      </x:c>
    </x:row>
    <x:row r="104" ht="25" customHeight="1">
      <x:c r="A104" s="11"/>
      <x:c r="B104" s="10"/>
      <x:c r="C104" s="10"/>
      <x:c r="D104" s="10"/>
      <x:c r="E104" s="10"/>
      <x:c r="F104" s="10"/>
      <x:c r="G104" s="14"/>
      <x:c r="H104" s="14"/>
      <x:c r="I104" s="14"/>
      <x:c r="J104" s="14"/>
      <x:c r="K104" s="10"/>
      <x:c r="L104" s="10"/>
      <x:c r="M104" s="10"/>
      <x:c r="N104" s="10"/>
      <x:c r="O104" s="1" t="str">
        <x:f>IF(COUNTA(A104:N104)=0,"",IF(AND(ISNUMBER(A104),B104&lt;&gt;"",C104&lt;&gt;"",D104&lt;&gt;"",E104&lt;&gt;"",F104="USD",ISNUMBER(G104),OR(H104="YES",H104="NO"),K104&lt;&gt;"",L104&lt;&gt;"",N104&lt;&gt;"",COUNTIFS($A$8:$A$207,A104,$B$8:$B$207,B104,$E$8:$E$207,E104)=1),"READY","Resolve missing / duplicate inputs"))</x:f>
      </x:c>
    </x:row>
    <x:row r="105" ht="25" customHeight="1">
      <x:c r="A105" s="11"/>
      <x:c r="B105" s="10"/>
      <x:c r="C105" s="10"/>
      <x:c r="D105" s="10"/>
      <x:c r="E105" s="10"/>
      <x:c r="F105" s="10"/>
      <x:c r="G105" s="14"/>
      <x:c r="H105" s="14"/>
      <x:c r="I105" s="14"/>
      <x:c r="J105" s="14"/>
      <x:c r="K105" s="10"/>
      <x:c r="L105" s="10"/>
      <x:c r="M105" s="10"/>
      <x:c r="N105" s="10"/>
      <x:c r="O105" s="1" t="str">
        <x:f>IF(COUNTA(A105:N105)=0,"",IF(AND(ISNUMBER(A105),B105&lt;&gt;"",C105&lt;&gt;"",D105&lt;&gt;"",E105&lt;&gt;"",F105="USD",ISNUMBER(G105),OR(H105="YES",H105="NO"),K105&lt;&gt;"",L105&lt;&gt;"",N105&lt;&gt;"",COUNTIFS($A$8:$A$207,A105,$B$8:$B$207,B105,$E$8:$E$207,E105)=1),"READY","Resolve missing / duplicate inputs"))</x:f>
      </x:c>
    </x:row>
    <x:row r="106" ht="25" customHeight="1">
      <x:c r="A106" s="11"/>
      <x:c r="B106" s="10"/>
      <x:c r="C106" s="10"/>
      <x:c r="D106" s="10"/>
      <x:c r="E106" s="10"/>
      <x:c r="F106" s="10"/>
      <x:c r="G106" s="14"/>
      <x:c r="H106" s="14"/>
      <x:c r="I106" s="14"/>
      <x:c r="J106" s="14"/>
      <x:c r="K106" s="10"/>
      <x:c r="L106" s="10"/>
      <x:c r="M106" s="10"/>
      <x:c r="N106" s="10"/>
      <x:c r="O106" s="1" t="str">
        <x:f>IF(COUNTA(A106:N106)=0,"",IF(AND(ISNUMBER(A106),B106&lt;&gt;"",C106&lt;&gt;"",D106&lt;&gt;"",E106&lt;&gt;"",F106="USD",ISNUMBER(G106),OR(H106="YES",H106="NO"),K106&lt;&gt;"",L106&lt;&gt;"",N106&lt;&gt;"",COUNTIFS($A$8:$A$207,A106,$B$8:$B$207,B106,$E$8:$E$207,E106)=1),"READY","Resolve missing / duplicate inputs"))</x:f>
      </x:c>
    </x:row>
    <x:row r="107" ht="25" customHeight="1">
      <x:c r="A107" s="11"/>
      <x:c r="B107" s="10"/>
      <x:c r="C107" s="10"/>
      <x:c r="D107" s="10"/>
      <x:c r="E107" s="10"/>
      <x:c r="F107" s="10"/>
      <x:c r="G107" s="14"/>
      <x:c r="H107" s="14"/>
      <x:c r="I107" s="14"/>
      <x:c r="J107" s="14"/>
      <x:c r="K107" s="10"/>
      <x:c r="L107" s="10"/>
      <x:c r="M107" s="10"/>
      <x:c r="N107" s="10"/>
      <x:c r="O107" s="1" t="str">
        <x:f>IF(COUNTA(A107:N107)=0,"",IF(AND(ISNUMBER(A107),B107&lt;&gt;"",C107&lt;&gt;"",D107&lt;&gt;"",E107&lt;&gt;"",F107="USD",ISNUMBER(G107),OR(H107="YES",H107="NO"),K107&lt;&gt;"",L107&lt;&gt;"",N107&lt;&gt;"",COUNTIFS($A$8:$A$207,A107,$B$8:$B$207,B107,$E$8:$E$207,E107)=1),"READY","Resolve missing / duplicate inputs"))</x:f>
      </x:c>
    </x:row>
    <x:row r="108" ht="25" customHeight="1">
      <x:c r="A108" s="11"/>
      <x:c r="B108" s="10"/>
      <x:c r="C108" s="10"/>
      <x:c r="D108" s="10"/>
      <x:c r="E108" s="10"/>
      <x:c r="F108" s="10"/>
      <x:c r="G108" s="14"/>
      <x:c r="H108" s="14"/>
      <x:c r="I108" s="14"/>
      <x:c r="J108" s="14"/>
      <x:c r="K108" s="10"/>
      <x:c r="L108" s="10"/>
      <x:c r="M108" s="10"/>
      <x:c r="N108" s="10"/>
      <x:c r="O108" s="1" t="str">
        <x:f>IF(COUNTA(A108:N108)=0,"",IF(AND(ISNUMBER(A108),B108&lt;&gt;"",C108&lt;&gt;"",D108&lt;&gt;"",E108&lt;&gt;"",F108="USD",ISNUMBER(G108),OR(H108="YES",H108="NO"),K108&lt;&gt;"",L108&lt;&gt;"",N108&lt;&gt;"",COUNTIFS($A$8:$A$207,A108,$B$8:$B$207,B108,$E$8:$E$207,E108)=1),"READY","Resolve missing / duplicate inputs"))</x:f>
      </x:c>
    </x:row>
    <x:row r="109" ht="25" customHeight="1">
      <x:c r="A109" s="11"/>
      <x:c r="B109" s="10"/>
      <x:c r="C109" s="10"/>
      <x:c r="D109" s="10"/>
      <x:c r="E109" s="10"/>
      <x:c r="F109" s="10"/>
      <x:c r="G109" s="14"/>
      <x:c r="H109" s="14"/>
      <x:c r="I109" s="14"/>
      <x:c r="J109" s="14"/>
      <x:c r="K109" s="10"/>
      <x:c r="L109" s="10"/>
      <x:c r="M109" s="10"/>
      <x:c r="N109" s="10"/>
      <x:c r="O109" s="1" t="str">
        <x:f>IF(COUNTA(A109:N109)=0,"",IF(AND(ISNUMBER(A109),B109&lt;&gt;"",C109&lt;&gt;"",D109&lt;&gt;"",E109&lt;&gt;"",F109="USD",ISNUMBER(G109),OR(H109="YES",H109="NO"),K109&lt;&gt;"",L109&lt;&gt;"",N109&lt;&gt;"",COUNTIFS($A$8:$A$207,A109,$B$8:$B$207,B109,$E$8:$E$207,E109)=1),"READY","Resolve missing / duplicate inputs"))</x:f>
      </x:c>
    </x:row>
    <x:row r="110" ht="25" customHeight="1">
      <x:c r="A110" s="11"/>
      <x:c r="B110" s="10"/>
      <x:c r="C110" s="10"/>
      <x:c r="D110" s="10"/>
      <x:c r="E110" s="10"/>
      <x:c r="F110" s="10"/>
      <x:c r="G110" s="14"/>
      <x:c r="H110" s="14"/>
      <x:c r="I110" s="14"/>
      <x:c r="J110" s="14"/>
      <x:c r="K110" s="10"/>
      <x:c r="L110" s="10"/>
      <x:c r="M110" s="10"/>
      <x:c r="N110" s="10"/>
      <x:c r="O110" s="1" t="str">
        <x:f>IF(COUNTA(A110:N110)=0,"",IF(AND(ISNUMBER(A110),B110&lt;&gt;"",C110&lt;&gt;"",D110&lt;&gt;"",E110&lt;&gt;"",F110="USD",ISNUMBER(G110),OR(H110="YES",H110="NO"),K110&lt;&gt;"",L110&lt;&gt;"",N110&lt;&gt;"",COUNTIFS($A$8:$A$207,A110,$B$8:$B$207,B110,$E$8:$E$207,E110)=1),"READY","Resolve missing / duplicate inputs"))</x:f>
      </x:c>
    </x:row>
    <x:row r="111" ht="25" customHeight="1">
      <x:c r="A111" s="11"/>
      <x:c r="B111" s="10"/>
      <x:c r="C111" s="10"/>
      <x:c r="D111" s="10"/>
      <x:c r="E111" s="10"/>
      <x:c r="F111" s="10"/>
      <x:c r="G111" s="14"/>
      <x:c r="H111" s="14"/>
      <x:c r="I111" s="14"/>
      <x:c r="J111" s="14"/>
      <x:c r="K111" s="10"/>
      <x:c r="L111" s="10"/>
      <x:c r="M111" s="10"/>
      <x:c r="N111" s="10"/>
      <x:c r="O111" s="1" t="str">
        <x:f>IF(COUNTA(A111:N111)=0,"",IF(AND(ISNUMBER(A111),B111&lt;&gt;"",C111&lt;&gt;"",D111&lt;&gt;"",E111&lt;&gt;"",F111="USD",ISNUMBER(G111),OR(H111="YES",H111="NO"),K111&lt;&gt;"",L111&lt;&gt;"",N111&lt;&gt;"",COUNTIFS($A$8:$A$207,A111,$B$8:$B$207,B111,$E$8:$E$207,E111)=1),"READY","Resolve missing / duplicate inputs"))</x:f>
      </x:c>
    </x:row>
    <x:row r="112" ht="25" customHeight="1">
      <x:c r="A112" s="11"/>
      <x:c r="B112" s="10"/>
      <x:c r="C112" s="10"/>
      <x:c r="D112" s="10"/>
      <x:c r="E112" s="10"/>
      <x:c r="F112" s="10"/>
      <x:c r="G112" s="14"/>
      <x:c r="H112" s="14"/>
      <x:c r="I112" s="14"/>
      <x:c r="J112" s="14"/>
      <x:c r="K112" s="10"/>
      <x:c r="L112" s="10"/>
      <x:c r="M112" s="10"/>
      <x:c r="N112" s="10"/>
      <x:c r="O112" s="1" t="str">
        <x:f>IF(COUNTA(A112:N112)=0,"",IF(AND(ISNUMBER(A112),B112&lt;&gt;"",C112&lt;&gt;"",D112&lt;&gt;"",E112&lt;&gt;"",F112="USD",ISNUMBER(G112),OR(H112="YES",H112="NO"),K112&lt;&gt;"",L112&lt;&gt;"",N112&lt;&gt;"",COUNTIFS($A$8:$A$207,A112,$B$8:$B$207,B112,$E$8:$E$207,E112)=1),"READY","Resolve missing / duplicate inputs"))</x:f>
      </x:c>
    </x:row>
    <x:row r="113" ht="25" customHeight="1">
      <x:c r="A113" s="11"/>
      <x:c r="B113" s="10"/>
      <x:c r="C113" s="10"/>
      <x:c r="D113" s="10"/>
      <x:c r="E113" s="10"/>
      <x:c r="F113" s="10"/>
      <x:c r="G113" s="14"/>
      <x:c r="H113" s="14"/>
      <x:c r="I113" s="14"/>
      <x:c r="J113" s="14"/>
      <x:c r="K113" s="10"/>
      <x:c r="L113" s="10"/>
      <x:c r="M113" s="10"/>
      <x:c r="N113" s="10"/>
      <x:c r="O113" s="1" t="str">
        <x:f>IF(COUNTA(A113:N113)=0,"",IF(AND(ISNUMBER(A113),B113&lt;&gt;"",C113&lt;&gt;"",D113&lt;&gt;"",E113&lt;&gt;"",F113="USD",ISNUMBER(G113),OR(H113="YES",H113="NO"),K113&lt;&gt;"",L113&lt;&gt;"",N113&lt;&gt;"",COUNTIFS($A$8:$A$207,A113,$B$8:$B$207,B113,$E$8:$E$207,E113)=1),"READY","Resolve missing / duplicate inputs"))</x:f>
      </x:c>
    </x:row>
    <x:row r="114" ht="25" customHeight="1">
      <x:c r="A114" s="11"/>
      <x:c r="B114" s="10"/>
      <x:c r="C114" s="10"/>
      <x:c r="D114" s="10"/>
      <x:c r="E114" s="10"/>
      <x:c r="F114" s="10"/>
      <x:c r="G114" s="14"/>
      <x:c r="H114" s="14"/>
      <x:c r="I114" s="14"/>
      <x:c r="J114" s="14"/>
      <x:c r="K114" s="10"/>
      <x:c r="L114" s="10"/>
      <x:c r="M114" s="10"/>
      <x:c r="N114" s="10"/>
      <x:c r="O114" s="1" t="str">
        <x:f>IF(COUNTA(A114:N114)=0,"",IF(AND(ISNUMBER(A114),B114&lt;&gt;"",C114&lt;&gt;"",D114&lt;&gt;"",E114&lt;&gt;"",F114="USD",ISNUMBER(G114),OR(H114="YES",H114="NO"),K114&lt;&gt;"",L114&lt;&gt;"",N114&lt;&gt;"",COUNTIFS($A$8:$A$207,A114,$B$8:$B$207,B114,$E$8:$E$207,E114)=1),"READY","Resolve missing / duplicate inputs"))</x:f>
      </x:c>
    </x:row>
    <x:row r="115" ht="25" customHeight="1">
      <x:c r="A115" s="11"/>
      <x:c r="B115" s="10"/>
      <x:c r="C115" s="10"/>
      <x:c r="D115" s="10"/>
      <x:c r="E115" s="10"/>
      <x:c r="F115" s="10"/>
      <x:c r="G115" s="14"/>
      <x:c r="H115" s="14"/>
      <x:c r="I115" s="14"/>
      <x:c r="J115" s="14"/>
      <x:c r="K115" s="10"/>
      <x:c r="L115" s="10"/>
      <x:c r="M115" s="10"/>
      <x:c r="N115" s="10"/>
      <x:c r="O115" s="1" t="str">
        <x:f>IF(COUNTA(A115:N115)=0,"",IF(AND(ISNUMBER(A115),B115&lt;&gt;"",C115&lt;&gt;"",D115&lt;&gt;"",E115&lt;&gt;"",F115="USD",ISNUMBER(G115),OR(H115="YES",H115="NO"),K115&lt;&gt;"",L115&lt;&gt;"",N115&lt;&gt;"",COUNTIFS($A$8:$A$207,A115,$B$8:$B$207,B115,$E$8:$E$207,E115)=1),"READY","Resolve missing / duplicate inputs"))</x:f>
      </x:c>
    </x:row>
    <x:row r="116" ht="25" customHeight="1">
      <x:c r="A116" s="11"/>
      <x:c r="B116" s="10"/>
      <x:c r="C116" s="10"/>
      <x:c r="D116" s="10"/>
      <x:c r="E116" s="10"/>
      <x:c r="F116" s="10"/>
      <x:c r="G116" s="14"/>
      <x:c r="H116" s="14"/>
      <x:c r="I116" s="14"/>
      <x:c r="J116" s="14"/>
      <x:c r="K116" s="10"/>
      <x:c r="L116" s="10"/>
      <x:c r="M116" s="10"/>
      <x:c r="N116" s="10"/>
      <x:c r="O116" s="1" t="str">
        <x:f>IF(COUNTA(A116:N116)=0,"",IF(AND(ISNUMBER(A116),B116&lt;&gt;"",C116&lt;&gt;"",D116&lt;&gt;"",E116&lt;&gt;"",F116="USD",ISNUMBER(G116),OR(H116="YES",H116="NO"),K116&lt;&gt;"",L116&lt;&gt;"",N116&lt;&gt;"",COUNTIFS($A$8:$A$207,A116,$B$8:$B$207,B116,$E$8:$E$207,E116)=1),"READY","Resolve missing / duplicate inputs"))</x:f>
      </x:c>
    </x:row>
    <x:row r="117" ht="25" customHeight="1">
      <x:c r="A117" s="11"/>
      <x:c r="B117" s="10"/>
      <x:c r="C117" s="10"/>
      <x:c r="D117" s="10"/>
      <x:c r="E117" s="10"/>
      <x:c r="F117" s="10"/>
      <x:c r="G117" s="14"/>
      <x:c r="H117" s="14"/>
      <x:c r="I117" s="14"/>
      <x:c r="J117" s="14"/>
      <x:c r="K117" s="10"/>
      <x:c r="L117" s="10"/>
      <x:c r="M117" s="10"/>
      <x:c r="N117" s="10"/>
      <x:c r="O117" s="1" t="str">
        <x:f>IF(COUNTA(A117:N117)=0,"",IF(AND(ISNUMBER(A117),B117&lt;&gt;"",C117&lt;&gt;"",D117&lt;&gt;"",E117&lt;&gt;"",F117="USD",ISNUMBER(G117),OR(H117="YES",H117="NO"),K117&lt;&gt;"",L117&lt;&gt;"",N117&lt;&gt;"",COUNTIFS($A$8:$A$207,A117,$B$8:$B$207,B117,$E$8:$E$207,E117)=1),"READY","Resolve missing / duplicate inputs"))</x:f>
      </x:c>
    </x:row>
    <x:row r="118" ht="25" customHeight="1">
      <x:c r="A118" s="11"/>
      <x:c r="B118" s="10"/>
      <x:c r="C118" s="10"/>
      <x:c r="D118" s="10"/>
      <x:c r="E118" s="10"/>
      <x:c r="F118" s="10"/>
      <x:c r="G118" s="14"/>
      <x:c r="H118" s="14"/>
      <x:c r="I118" s="14"/>
      <x:c r="J118" s="14"/>
      <x:c r="K118" s="10"/>
      <x:c r="L118" s="10"/>
      <x:c r="M118" s="10"/>
      <x:c r="N118" s="10"/>
      <x:c r="O118" s="1" t="str">
        <x:f>IF(COUNTA(A118:N118)=0,"",IF(AND(ISNUMBER(A118),B118&lt;&gt;"",C118&lt;&gt;"",D118&lt;&gt;"",E118&lt;&gt;"",F118="USD",ISNUMBER(G118),OR(H118="YES",H118="NO"),K118&lt;&gt;"",L118&lt;&gt;"",N118&lt;&gt;"",COUNTIFS($A$8:$A$207,A118,$B$8:$B$207,B118,$E$8:$E$207,E118)=1),"READY","Resolve missing / duplicate inputs"))</x:f>
      </x:c>
    </x:row>
    <x:row r="119" ht="25" customHeight="1">
      <x:c r="A119" s="11"/>
      <x:c r="B119" s="10"/>
      <x:c r="C119" s="10"/>
      <x:c r="D119" s="10"/>
      <x:c r="E119" s="10"/>
      <x:c r="F119" s="10"/>
      <x:c r="G119" s="14"/>
      <x:c r="H119" s="14"/>
      <x:c r="I119" s="14"/>
      <x:c r="J119" s="14"/>
      <x:c r="K119" s="10"/>
      <x:c r="L119" s="10"/>
      <x:c r="M119" s="10"/>
      <x:c r="N119" s="10"/>
      <x:c r="O119" s="1" t="str">
        <x:f>IF(COUNTA(A119:N119)=0,"",IF(AND(ISNUMBER(A119),B119&lt;&gt;"",C119&lt;&gt;"",D119&lt;&gt;"",E119&lt;&gt;"",F119="USD",ISNUMBER(G119),OR(H119="YES",H119="NO"),K119&lt;&gt;"",L119&lt;&gt;"",N119&lt;&gt;"",COUNTIFS($A$8:$A$207,A119,$B$8:$B$207,B119,$E$8:$E$207,E119)=1),"READY","Resolve missing / duplicate inputs"))</x:f>
      </x:c>
    </x:row>
    <x:row r="120" ht="25" customHeight="1">
      <x:c r="A120" s="11"/>
      <x:c r="B120" s="10"/>
      <x:c r="C120" s="10"/>
      <x:c r="D120" s="10"/>
      <x:c r="E120" s="10"/>
      <x:c r="F120" s="10"/>
      <x:c r="G120" s="14"/>
      <x:c r="H120" s="14"/>
      <x:c r="I120" s="14"/>
      <x:c r="J120" s="14"/>
      <x:c r="K120" s="10"/>
      <x:c r="L120" s="10"/>
      <x:c r="M120" s="10"/>
      <x:c r="N120" s="10"/>
      <x:c r="O120" s="1" t="str">
        <x:f>IF(COUNTA(A120:N120)=0,"",IF(AND(ISNUMBER(A120),B120&lt;&gt;"",C120&lt;&gt;"",D120&lt;&gt;"",E120&lt;&gt;"",F120="USD",ISNUMBER(G120),OR(H120="YES",H120="NO"),K120&lt;&gt;"",L120&lt;&gt;"",N120&lt;&gt;"",COUNTIFS($A$8:$A$207,A120,$B$8:$B$207,B120,$E$8:$E$207,E120)=1),"READY","Resolve missing / duplicate inputs"))</x:f>
      </x:c>
    </x:row>
    <x:row r="121" ht="25" customHeight="1">
      <x:c r="A121" s="11"/>
      <x:c r="B121" s="10"/>
      <x:c r="C121" s="10"/>
      <x:c r="D121" s="10"/>
      <x:c r="E121" s="10"/>
      <x:c r="F121" s="10"/>
      <x:c r="G121" s="14"/>
      <x:c r="H121" s="14"/>
      <x:c r="I121" s="14"/>
      <x:c r="J121" s="14"/>
      <x:c r="K121" s="10"/>
      <x:c r="L121" s="10"/>
      <x:c r="M121" s="10"/>
      <x:c r="N121" s="10"/>
      <x:c r="O121" s="1" t="str">
        <x:f>IF(COUNTA(A121:N121)=0,"",IF(AND(ISNUMBER(A121),B121&lt;&gt;"",C121&lt;&gt;"",D121&lt;&gt;"",E121&lt;&gt;"",F121="USD",ISNUMBER(G121),OR(H121="YES",H121="NO"),K121&lt;&gt;"",L121&lt;&gt;"",N121&lt;&gt;"",COUNTIFS($A$8:$A$207,A121,$B$8:$B$207,B121,$E$8:$E$207,E121)=1),"READY","Resolve missing / duplicate inputs"))</x:f>
      </x:c>
    </x:row>
    <x:row r="122" ht="25" customHeight="1">
      <x:c r="A122" s="11"/>
      <x:c r="B122" s="10"/>
      <x:c r="C122" s="10"/>
      <x:c r="D122" s="10"/>
      <x:c r="E122" s="10"/>
      <x:c r="F122" s="10"/>
      <x:c r="G122" s="14"/>
      <x:c r="H122" s="14"/>
      <x:c r="I122" s="14"/>
      <x:c r="J122" s="14"/>
      <x:c r="K122" s="10"/>
      <x:c r="L122" s="10"/>
      <x:c r="M122" s="10"/>
      <x:c r="N122" s="10"/>
      <x:c r="O122" s="1" t="str">
        <x:f>IF(COUNTA(A122:N122)=0,"",IF(AND(ISNUMBER(A122),B122&lt;&gt;"",C122&lt;&gt;"",D122&lt;&gt;"",E122&lt;&gt;"",F122="USD",ISNUMBER(G122),OR(H122="YES",H122="NO"),K122&lt;&gt;"",L122&lt;&gt;"",N122&lt;&gt;"",COUNTIFS($A$8:$A$207,A122,$B$8:$B$207,B122,$E$8:$E$207,E122)=1),"READY","Resolve missing / duplicate inputs"))</x:f>
      </x:c>
    </x:row>
    <x:row r="123" ht="25" customHeight="1">
      <x:c r="A123" s="11"/>
      <x:c r="B123" s="10"/>
      <x:c r="C123" s="10"/>
      <x:c r="D123" s="10"/>
      <x:c r="E123" s="10"/>
      <x:c r="F123" s="10"/>
      <x:c r="G123" s="14"/>
      <x:c r="H123" s="14"/>
      <x:c r="I123" s="14"/>
      <x:c r="J123" s="14"/>
      <x:c r="K123" s="10"/>
      <x:c r="L123" s="10"/>
      <x:c r="M123" s="10"/>
      <x:c r="N123" s="10"/>
      <x:c r="O123" s="1" t="str">
        <x:f>IF(COUNTA(A123:N123)=0,"",IF(AND(ISNUMBER(A123),B123&lt;&gt;"",C123&lt;&gt;"",D123&lt;&gt;"",E123&lt;&gt;"",F123="USD",ISNUMBER(G123),OR(H123="YES",H123="NO"),K123&lt;&gt;"",L123&lt;&gt;"",N123&lt;&gt;"",COUNTIFS($A$8:$A$207,A123,$B$8:$B$207,B123,$E$8:$E$207,E123)=1),"READY","Resolve missing / duplicate inputs"))</x:f>
      </x:c>
    </x:row>
    <x:row r="124" ht="25" customHeight="1">
      <x:c r="A124" s="11"/>
      <x:c r="B124" s="10"/>
      <x:c r="C124" s="10"/>
      <x:c r="D124" s="10"/>
      <x:c r="E124" s="10"/>
      <x:c r="F124" s="10"/>
      <x:c r="G124" s="14"/>
      <x:c r="H124" s="14"/>
      <x:c r="I124" s="14"/>
      <x:c r="J124" s="14"/>
      <x:c r="K124" s="10"/>
      <x:c r="L124" s="10"/>
      <x:c r="M124" s="10"/>
      <x:c r="N124" s="10"/>
      <x:c r="O124" s="1" t="str">
        <x:f>IF(COUNTA(A124:N124)=0,"",IF(AND(ISNUMBER(A124),B124&lt;&gt;"",C124&lt;&gt;"",D124&lt;&gt;"",E124&lt;&gt;"",F124="USD",ISNUMBER(G124),OR(H124="YES",H124="NO"),K124&lt;&gt;"",L124&lt;&gt;"",N124&lt;&gt;"",COUNTIFS($A$8:$A$207,A124,$B$8:$B$207,B124,$E$8:$E$207,E124)=1),"READY","Resolve missing / duplicate inputs"))</x:f>
      </x:c>
    </x:row>
    <x:row r="125" ht="25" customHeight="1">
      <x:c r="A125" s="11"/>
      <x:c r="B125" s="10"/>
      <x:c r="C125" s="10"/>
      <x:c r="D125" s="10"/>
      <x:c r="E125" s="10"/>
      <x:c r="F125" s="10"/>
      <x:c r="G125" s="14"/>
      <x:c r="H125" s="14"/>
      <x:c r="I125" s="14"/>
      <x:c r="J125" s="14"/>
      <x:c r="K125" s="10"/>
      <x:c r="L125" s="10"/>
      <x:c r="M125" s="10"/>
      <x:c r="N125" s="10"/>
      <x:c r="O125" s="1" t="str">
        <x:f>IF(COUNTA(A125:N125)=0,"",IF(AND(ISNUMBER(A125),B125&lt;&gt;"",C125&lt;&gt;"",D125&lt;&gt;"",E125&lt;&gt;"",F125="USD",ISNUMBER(G125),OR(H125="YES",H125="NO"),K125&lt;&gt;"",L125&lt;&gt;"",N125&lt;&gt;"",COUNTIFS($A$8:$A$207,A125,$B$8:$B$207,B125,$E$8:$E$207,E125)=1),"READY","Resolve missing / duplicate inputs"))</x:f>
      </x:c>
    </x:row>
    <x:row r="126" ht="25" customHeight="1">
      <x:c r="A126" s="11"/>
      <x:c r="B126" s="10"/>
      <x:c r="C126" s="10"/>
      <x:c r="D126" s="10"/>
      <x:c r="E126" s="10"/>
      <x:c r="F126" s="10"/>
      <x:c r="G126" s="14"/>
      <x:c r="H126" s="14"/>
      <x:c r="I126" s="14"/>
      <x:c r="J126" s="14"/>
      <x:c r="K126" s="10"/>
      <x:c r="L126" s="10"/>
      <x:c r="M126" s="10"/>
      <x:c r="N126" s="10"/>
      <x:c r="O126" s="1" t="str">
        <x:f>IF(COUNTA(A126:N126)=0,"",IF(AND(ISNUMBER(A126),B126&lt;&gt;"",C126&lt;&gt;"",D126&lt;&gt;"",E126&lt;&gt;"",F126="USD",ISNUMBER(G126),OR(H126="YES",H126="NO"),K126&lt;&gt;"",L126&lt;&gt;"",N126&lt;&gt;"",COUNTIFS($A$8:$A$207,A126,$B$8:$B$207,B126,$E$8:$E$207,E126)=1),"READY","Resolve missing / duplicate inputs"))</x:f>
      </x:c>
    </x:row>
    <x:row r="127" ht="25" customHeight="1">
      <x:c r="A127" s="11"/>
      <x:c r="B127" s="10"/>
      <x:c r="C127" s="10"/>
      <x:c r="D127" s="10"/>
      <x:c r="E127" s="10"/>
      <x:c r="F127" s="10"/>
      <x:c r="G127" s="14"/>
      <x:c r="H127" s="14"/>
      <x:c r="I127" s="14"/>
      <x:c r="J127" s="14"/>
      <x:c r="K127" s="10"/>
      <x:c r="L127" s="10"/>
      <x:c r="M127" s="10"/>
      <x:c r="N127" s="10"/>
      <x:c r="O127" s="1" t="str">
        <x:f>IF(COUNTA(A127:N127)=0,"",IF(AND(ISNUMBER(A127),B127&lt;&gt;"",C127&lt;&gt;"",D127&lt;&gt;"",E127&lt;&gt;"",F127="USD",ISNUMBER(G127),OR(H127="YES",H127="NO"),K127&lt;&gt;"",L127&lt;&gt;"",N127&lt;&gt;"",COUNTIFS($A$8:$A$207,A127,$B$8:$B$207,B127,$E$8:$E$207,E127)=1),"READY","Resolve missing / duplicate inputs"))</x:f>
      </x:c>
    </x:row>
    <x:row r="128" ht="25" customHeight="1">
      <x:c r="A128" s="11"/>
      <x:c r="B128" s="10"/>
      <x:c r="C128" s="10"/>
      <x:c r="D128" s="10"/>
      <x:c r="E128" s="10"/>
      <x:c r="F128" s="10"/>
      <x:c r="G128" s="14"/>
      <x:c r="H128" s="14"/>
      <x:c r="I128" s="14"/>
      <x:c r="J128" s="14"/>
      <x:c r="K128" s="10"/>
      <x:c r="L128" s="10"/>
      <x:c r="M128" s="10"/>
      <x:c r="N128" s="10"/>
      <x:c r="O128" s="1" t="str">
        <x:f>IF(COUNTA(A128:N128)=0,"",IF(AND(ISNUMBER(A128),B128&lt;&gt;"",C128&lt;&gt;"",D128&lt;&gt;"",E128&lt;&gt;"",F128="USD",ISNUMBER(G128),OR(H128="YES",H128="NO"),K128&lt;&gt;"",L128&lt;&gt;"",N128&lt;&gt;"",COUNTIFS($A$8:$A$207,A128,$B$8:$B$207,B128,$E$8:$E$207,E128)=1),"READY","Resolve missing / duplicate inputs"))</x:f>
      </x:c>
    </x:row>
    <x:row r="129" ht="25" customHeight="1">
      <x:c r="A129" s="11"/>
      <x:c r="B129" s="10"/>
      <x:c r="C129" s="10"/>
      <x:c r="D129" s="10"/>
      <x:c r="E129" s="10"/>
      <x:c r="F129" s="10"/>
      <x:c r="G129" s="14"/>
      <x:c r="H129" s="14"/>
      <x:c r="I129" s="14"/>
      <x:c r="J129" s="14"/>
      <x:c r="K129" s="10"/>
      <x:c r="L129" s="10"/>
      <x:c r="M129" s="10"/>
      <x:c r="N129" s="10"/>
      <x:c r="O129" s="1" t="str">
        <x:f>IF(COUNTA(A129:N129)=0,"",IF(AND(ISNUMBER(A129),B129&lt;&gt;"",C129&lt;&gt;"",D129&lt;&gt;"",E129&lt;&gt;"",F129="USD",ISNUMBER(G129),OR(H129="YES",H129="NO"),K129&lt;&gt;"",L129&lt;&gt;"",N129&lt;&gt;"",COUNTIFS($A$8:$A$207,A129,$B$8:$B$207,B129,$E$8:$E$207,E129)=1),"READY","Resolve missing / duplicate inputs"))</x:f>
      </x:c>
    </x:row>
    <x:row r="130" ht="25" customHeight="1">
      <x:c r="A130" s="11"/>
      <x:c r="B130" s="10"/>
      <x:c r="C130" s="10"/>
      <x:c r="D130" s="10"/>
      <x:c r="E130" s="10"/>
      <x:c r="F130" s="10"/>
      <x:c r="G130" s="14"/>
      <x:c r="H130" s="14"/>
      <x:c r="I130" s="14"/>
      <x:c r="J130" s="14"/>
      <x:c r="K130" s="10"/>
      <x:c r="L130" s="10"/>
      <x:c r="M130" s="10"/>
      <x:c r="N130" s="10"/>
      <x:c r="O130" s="1" t="str">
        <x:f>IF(COUNTA(A130:N130)=0,"",IF(AND(ISNUMBER(A130),B130&lt;&gt;"",C130&lt;&gt;"",D130&lt;&gt;"",E130&lt;&gt;"",F130="USD",ISNUMBER(G130),OR(H130="YES",H130="NO"),K130&lt;&gt;"",L130&lt;&gt;"",N130&lt;&gt;"",COUNTIFS($A$8:$A$207,A130,$B$8:$B$207,B130,$E$8:$E$207,E130)=1),"READY","Resolve missing / duplicate inputs"))</x:f>
      </x:c>
    </x:row>
    <x:row r="131" ht="25" customHeight="1">
      <x:c r="A131" s="11"/>
      <x:c r="B131" s="10"/>
      <x:c r="C131" s="10"/>
      <x:c r="D131" s="10"/>
      <x:c r="E131" s="10"/>
      <x:c r="F131" s="10"/>
      <x:c r="G131" s="14"/>
      <x:c r="H131" s="14"/>
      <x:c r="I131" s="14"/>
      <x:c r="J131" s="14"/>
      <x:c r="K131" s="10"/>
      <x:c r="L131" s="10"/>
      <x:c r="M131" s="10"/>
      <x:c r="N131" s="10"/>
      <x:c r="O131" s="1" t="str">
        <x:f>IF(COUNTA(A131:N131)=0,"",IF(AND(ISNUMBER(A131),B131&lt;&gt;"",C131&lt;&gt;"",D131&lt;&gt;"",E131&lt;&gt;"",F131="USD",ISNUMBER(G131),OR(H131="YES",H131="NO"),K131&lt;&gt;"",L131&lt;&gt;"",N131&lt;&gt;"",COUNTIFS($A$8:$A$207,A131,$B$8:$B$207,B131,$E$8:$E$207,E131)=1),"READY","Resolve missing / duplicate inputs"))</x:f>
      </x:c>
    </x:row>
    <x:row r="132" ht="25" customHeight="1">
      <x:c r="A132" s="11"/>
      <x:c r="B132" s="10"/>
      <x:c r="C132" s="10"/>
      <x:c r="D132" s="10"/>
      <x:c r="E132" s="10"/>
      <x:c r="F132" s="10"/>
      <x:c r="G132" s="14"/>
      <x:c r="H132" s="14"/>
      <x:c r="I132" s="14"/>
      <x:c r="J132" s="14"/>
      <x:c r="K132" s="10"/>
      <x:c r="L132" s="10"/>
      <x:c r="M132" s="10"/>
      <x:c r="N132" s="10"/>
      <x:c r="O132" s="1" t="str">
        <x:f>IF(COUNTA(A132:N132)=0,"",IF(AND(ISNUMBER(A132),B132&lt;&gt;"",C132&lt;&gt;"",D132&lt;&gt;"",E132&lt;&gt;"",F132="USD",ISNUMBER(G132),OR(H132="YES",H132="NO"),K132&lt;&gt;"",L132&lt;&gt;"",N132&lt;&gt;"",COUNTIFS($A$8:$A$207,A132,$B$8:$B$207,B132,$E$8:$E$207,E132)=1),"READY","Resolve missing / duplicate inputs"))</x:f>
      </x:c>
    </x:row>
    <x:row r="133" ht="25" customHeight="1">
      <x:c r="A133" s="11"/>
      <x:c r="B133" s="10"/>
      <x:c r="C133" s="10"/>
      <x:c r="D133" s="10"/>
      <x:c r="E133" s="10"/>
      <x:c r="F133" s="10"/>
      <x:c r="G133" s="14"/>
      <x:c r="H133" s="14"/>
      <x:c r="I133" s="14"/>
      <x:c r="J133" s="14"/>
      <x:c r="K133" s="10"/>
      <x:c r="L133" s="10"/>
      <x:c r="M133" s="10"/>
      <x:c r="N133" s="10"/>
      <x:c r="O133" s="1" t="str">
        <x:f>IF(COUNTA(A133:N133)=0,"",IF(AND(ISNUMBER(A133),B133&lt;&gt;"",C133&lt;&gt;"",D133&lt;&gt;"",E133&lt;&gt;"",F133="USD",ISNUMBER(G133),OR(H133="YES",H133="NO"),K133&lt;&gt;"",L133&lt;&gt;"",N133&lt;&gt;"",COUNTIFS($A$8:$A$207,A133,$B$8:$B$207,B133,$E$8:$E$207,E133)=1),"READY","Resolve missing / duplicate inputs"))</x:f>
      </x:c>
    </x:row>
    <x:row r="134" ht="25" customHeight="1">
      <x:c r="A134" s="11"/>
      <x:c r="B134" s="10"/>
      <x:c r="C134" s="10"/>
      <x:c r="D134" s="10"/>
      <x:c r="E134" s="10"/>
      <x:c r="F134" s="10"/>
      <x:c r="G134" s="14"/>
      <x:c r="H134" s="14"/>
      <x:c r="I134" s="14"/>
      <x:c r="J134" s="14"/>
      <x:c r="K134" s="10"/>
      <x:c r="L134" s="10"/>
      <x:c r="M134" s="10"/>
      <x:c r="N134" s="10"/>
      <x:c r="O134" s="1" t="str">
        <x:f>IF(COUNTA(A134:N134)=0,"",IF(AND(ISNUMBER(A134),B134&lt;&gt;"",C134&lt;&gt;"",D134&lt;&gt;"",E134&lt;&gt;"",F134="USD",ISNUMBER(G134),OR(H134="YES",H134="NO"),K134&lt;&gt;"",L134&lt;&gt;"",N134&lt;&gt;"",COUNTIFS($A$8:$A$207,A134,$B$8:$B$207,B134,$E$8:$E$207,E134)=1),"READY","Resolve missing / duplicate inputs"))</x:f>
      </x:c>
    </x:row>
    <x:row r="135" ht="25" customHeight="1">
      <x:c r="A135" s="11"/>
      <x:c r="B135" s="10"/>
      <x:c r="C135" s="10"/>
      <x:c r="D135" s="10"/>
      <x:c r="E135" s="10"/>
      <x:c r="F135" s="10"/>
      <x:c r="G135" s="14"/>
      <x:c r="H135" s="14"/>
      <x:c r="I135" s="14"/>
      <x:c r="J135" s="14"/>
      <x:c r="K135" s="10"/>
      <x:c r="L135" s="10"/>
      <x:c r="M135" s="10"/>
      <x:c r="N135" s="10"/>
      <x:c r="O135" s="1" t="str">
        <x:f>IF(COUNTA(A135:N135)=0,"",IF(AND(ISNUMBER(A135),B135&lt;&gt;"",C135&lt;&gt;"",D135&lt;&gt;"",E135&lt;&gt;"",F135="USD",ISNUMBER(G135),OR(H135="YES",H135="NO"),K135&lt;&gt;"",L135&lt;&gt;"",N135&lt;&gt;"",COUNTIFS($A$8:$A$207,A135,$B$8:$B$207,B135,$E$8:$E$207,E135)=1),"READY","Resolve missing / duplicate inputs"))</x:f>
      </x:c>
    </x:row>
    <x:row r="136" ht="25" customHeight="1">
      <x:c r="A136" s="11"/>
      <x:c r="B136" s="10"/>
      <x:c r="C136" s="10"/>
      <x:c r="D136" s="10"/>
      <x:c r="E136" s="10"/>
      <x:c r="F136" s="10"/>
      <x:c r="G136" s="14"/>
      <x:c r="H136" s="14"/>
      <x:c r="I136" s="14"/>
      <x:c r="J136" s="14"/>
      <x:c r="K136" s="10"/>
      <x:c r="L136" s="10"/>
      <x:c r="M136" s="10"/>
      <x:c r="N136" s="10"/>
      <x:c r="O136" s="1" t="str">
        <x:f>IF(COUNTA(A136:N136)=0,"",IF(AND(ISNUMBER(A136),B136&lt;&gt;"",C136&lt;&gt;"",D136&lt;&gt;"",E136&lt;&gt;"",F136="USD",ISNUMBER(G136),OR(H136="YES",H136="NO"),K136&lt;&gt;"",L136&lt;&gt;"",N136&lt;&gt;"",COUNTIFS($A$8:$A$207,A136,$B$8:$B$207,B136,$E$8:$E$207,E136)=1),"READY","Resolve missing / duplicate inputs"))</x:f>
      </x:c>
    </x:row>
    <x:row r="137" ht="25" customHeight="1">
      <x:c r="A137" s="11"/>
      <x:c r="B137" s="10"/>
      <x:c r="C137" s="10"/>
      <x:c r="D137" s="10"/>
      <x:c r="E137" s="10"/>
      <x:c r="F137" s="10"/>
      <x:c r="G137" s="14"/>
      <x:c r="H137" s="14"/>
      <x:c r="I137" s="14"/>
      <x:c r="J137" s="14"/>
      <x:c r="K137" s="10"/>
      <x:c r="L137" s="10"/>
      <x:c r="M137" s="10"/>
      <x:c r="N137" s="10"/>
      <x:c r="O137" s="1" t="str">
        <x:f>IF(COUNTA(A137:N137)=0,"",IF(AND(ISNUMBER(A137),B137&lt;&gt;"",C137&lt;&gt;"",D137&lt;&gt;"",E137&lt;&gt;"",F137="USD",ISNUMBER(G137),OR(H137="YES",H137="NO"),K137&lt;&gt;"",L137&lt;&gt;"",N137&lt;&gt;"",COUNTIFS($A$8:$A$207,A137,$B$8:$B$207,B137,$E$8:$E$207,E137)=1),"READY","Resolve missing / duplicate inputs"))</x:f>
      </x:c>
    </x:row>
    <x:row r="138" ht="25" customHeight="1">
      <x:c r="A138" s="11"/>
      <x:c r="B138" s="10"/>
      <x:c r="C138" s="10"/>
      <x:c r="D138" s="10"/>
      <x:c r="E138" s="10"/>
      <x:c r="F138" s="10"/>
      <x:c r="G138" s="14"/>
      <x:c r="H138" s="14"/>
      <x:c r="I138" s="14"/>
      <x:c r="J138" s="14"/>
      <x:c r="K138" s="10"/>
      <x:c r="L138" s="10"/>
      <x:c r="M138" s="10"/>
      <x:c r="N138" s="10"/>
      <x:c r="O138" s="1" t="str">
        <x:f>IF(COUNTA(A138:N138)=0,"",IF(AND(ISNUMBER(A138),B138&lt;&gt;"",C138&lt;&gt;"",D138&lt;&gt;"",E138&lt;&gt;"",F138="USD",ISNUMBER(G138),OR(H138="YES",H138="NO"),K138&lt;&gt;"",L138&lt;&gt;"",N138&lt;&gt;"",COUNTIFS($A$8:$A$207,A138,$B$8:$B$207,B138,$E$8:$E$207,E138)=1),"READY","Resolve missing / duplicate inputs"))</x:f>
      </x:c>
    </x:row>
    <x:row r="139" ht="25" customHeight="1">
      <x:c r="A139" s="11"/>
      <x:c r="B139" s="10"/>
      <x:c r="C139" s="10"/>
      <x:c r="D139" s="10"/>
      <x:c r="E139" s="10"/>
      <x:c r="F139" s="10"/>
      <x:c r="G139" s="14"/>
      <x:c r="H139" s="14"/>
      <x:c r="I139" s="14"/>
      <x:c r="J139" s="14"/>
      <x:c r="K139" s="10"/>
      <x:c r="L139" s="10"/>
      <x:c r="M139" s="10"/>
      <x:c r="N139" s="10"/>
      <x:c r="O139" s="1" t="str">
        <x:f>IF(COUNTA(A139:N139)=0,"",IF(AND(ISNUMBER(A139),B139&lt;&gt;"",C139&lt;&gt;"",D139&lt;&gt;"",E139&lt;&gt;"",F139="USD",ISNUMBER(G139),OR(H139="YES",H139="NO"),K139&lt;&gt;"",L139&lt;&gt;"",N139&lt;&gt;"",COUNTIFS($A$8:$A$207,A139,$B$8:$B$207,B139,$E$8:$E$207,E139)=1),"READY","Resolve missing / duplicate inputs"))</x:f>
      </x:c>
    </x:row>
    <x:row r="140" ht="25" customHeight="1">
      <x:c r="A140" s="11"/>
      <x:c r="B140" s="10"/>
      <x:c r="C140" s="10"/>
      <x:c r="D140" s="10"/>
      <x:c r="E140" s="10"/>
      <x:c r="F140" s="10"/>
      <x:c r="G140" s="14"/>
      <x:c r="H140" s="14"/>
      <x:c r="I140" s="14"/>
      <x:c r="J140" s="14"/>
      <x:c r="K140" s="10"/>
      <x:c r="L140" s="10"/>
      <x:c r="M140" s="10"/>
      <x:c r="N140" s="10"/>
      <x:c r="O140" s="1" t="str">
        <x:f>IF(COUNTA(A140:N140)=0,"",IF(AND(ISNUMBER(A140),B140&lt;&gt;"",C140&lt;&gt;"",D140&lt;&gt;"",E140&lt;&gt;"",F140="USD",ISNUMBER(G140),OR(H140="YES",H140="NO"),K140&lt;&gt;"",L140&lt;&gt;"",N140&lt;&gt;"",COUNTIFS($A$8:$A$207,A140,$B$8:$B$207,B140,$E$8:$E$207,E140)=1),"READY","Resolve missing / duplicate inputs"))</x:f>
      </x:c>
    </x:row>
    <x:row r="141" ht="25" customHeight="1">
      <x:c r="A141" s="11"/>
      <x:c r="B141" s="10"/>
      <x:c r="C141" s="10"/>
      <x:c r="D141" s="10"/>
      <x:c r="E141" s="10"/>
      <x:c r="F141" s="10"/>
      <x:c r="G141" s="14"/>
      <x:c r="H141" s="14"/>
      <x:c r="I141" s="14"/>
      <x:c r="J141" s="14"/>
      <x:c r="K141" s="10"/>
      <x:c r="L141" s="10"/>
      <x:c r="M141" s="10"/>
      <x:c r="N141" s="10"/>
      <x:c r="O141" s="1" t="str">
        <x:f>IF(COUNTA(A141:N141)=0,"",IF(AND(ISNUMBER(A141),B141&lt;&gt;"",C141&lt;&gt;"",D141&lt;&gt;"",E141&lt;&gt;"",F141="USD",ISNUMBER(G141),OR(H141="YES",H141="NO"),K141&lt;&gt;"",L141&lt;&gt;"",N141&lt;&gt;"",COUNTIFS($A$8:$A$207,A141,$B$8:$B$207,B141,$E$8:$E$207,E141)=1),"READY","Resolve missing / duplicate inputs"))</x:f>
      </x:c>
    </x:row>
    <x:row r="142" ht="25" customHeight="1">
      <x:c r="A142" s="11"/>
      <x:c r="B142" s="10"/>
      <x:c r="C142" s="10"/>
      <x:c r="D142" s="10"/>
      <x:c r="E142" s="10"/>
      <x:c r="F142" s="10"/>
      <x:c r="G142" s="14"/>
      <x:c r="H142" s="14"/>
      <x:c r="I142" s="14"/>
      <x:c r="J142" s="14"/>
      <x:c r="K142" s="10"/>
      <x:c r="L142" s="10"/>
      <x:c r="M142" s="10"/>
      <x:c r="N142" s="10"/>
      <x:c r="O142" s="1" t="str">
        <x:f>IF(COUNTA(A142:N142)=0,"",IF(AND(ISNUMBER(A142),B142&lt;&gt;"",C142&lt;&gt;"",D142&lt;&gt;"",E142&lt;&gt;"",F142="USD",ISNUMBER(G142),OR(H142="YES",H142="NO"),K142&lt;&gt;"",L142&lt;&gt;"",N142&lt;&gt;"",COUNTIFS($A$8:$A$207,A142,$B$8:$B$207,B142,$E$8:$E$207,E142)=1),"READY","Resolve missing / duplicate inputs"))</x:f>
      </x:c>
    </x:row>
    <x:row r="143" ht="25" customHeight="1">
      <x:c r="A143" s="11"/>
      <x:c r="B143" s="10"/>
      <x:c r="C143" s="10"/>
      <x:c r="D143" s="10"/>
      <x:c r="E143" s="10"/>
      <x:c r="F143" s="10"/>
      <x:c r="G143" s="14"/>
      <x:c r="H143" s="14"/>
      <x:c r="I143" s="14"/>
      <x:c r="J143" s="14"/>
      <x:c r="K143" s="10"/>
      <x:c r="L143" s="10"/>
      <x:c r="M143" s="10"/>
      <x:c r="N143" s="10"/>
      <x:c r="O143" s="1" t="str">
        <x:f>IF(COUNTA(A143:N143)=0,"",IF(AND(ISNUMBER(A143),B143&lt;&gt;"",C143&lt;&gt;"",D143&lt;&gt;"",E143&lt;&gt;"",F143="USD",ISNUMBER(G143),OR(H143="YES",H143="NO"),K143&lt;&gt;"",L143&lt;&gt;"",N143&lt;&gt;"",COUNTIFS($A$8:$A$207,A143,$B$8:$B$207,B143,$E$8:$E$207,E143)=1),"READY","Resolve missing / duplicate inputs"))</x:f>
      </x:c>
    </x:row>
    <x:row r="144" ht="25" customHeight="1">
      <x:c r="A144" s="11"/>
      <x:c r="B144" s="10"/>
      <x:c r="C144" s="10"/>
      <x:c r="D144" s="10"/>
      <x:c r="E144" s="10"/>
      <x:c r="F144" s="10"/>
      <x:c r="G144" s="14"/>
      <x:c r="H144" s="14"/>
      <x:c r="I144" s="14"/>
      <x:c r="J144" s="14"/>
      <x:c r="K144" s="10"/>
      <x:c r="L144" s="10"/>
      <x:c r="M144" s="10"/>
      <x:c r="N144" s="10"/>
      <x:c r="O144" s="1" t="str">
        <x:f>IF(COUNTA(A144:N144)=0,"",IF(AND(ISNUMBER(A144),B144&lt;&gt;"",C144&lt;&gt;"",D144&lt;&gt;"",E144&lt;&gt;"",F144="USD",ISNUMBER(G144),OR(H144="YES",H144="NO"),K144&lt;&gt;"",L144&lt;&gt;"",N144&lt;&gt;"",COUNTIFS($A$8:$A$207,A144,$B$8:$B$207,B144,$E$8:$E$207,E144)=1),"READY","Resolve missing / duplicate inputs"))</x:f>
      </x:c>
    </x:row>
    <x:row r="145" ht="25" customHeight="1">
      <x:c r="A145" s="11"/>
      <x:c r="B145" s="10"/>
      <x:c r="C145" s="10"/>
      <x:c r="D145" s="10"/>
      <x:c r="E145" s="10"/>
      <x:c r="F145" s="10"/>
      <x:c r="G145" s="14"/>
      <x:c r="H145" s="14"/>
      <x:c r="I145" s="14"/>
      <x:c r="J145" s="14"/>
      <x:c r="K145" s="10"/>
      <x:c r="L145" s="10"/>
      <x:c r="M145" s="10"/>
      <x:c r="N145" s="10"/>
      <x:c r="O145" s="1" t="str">
        <x:f>IF(COUNTA(A145:N145)=0,"",IF(AND(ISNUMBER(A145),B145&lt;&gt;"",C145&lt;&gt;"",D145&lt;&gt;"",E145&lt;&gt;"",F145="USD",ISNUMBER(G145),OR(H145="YES",H145="NO"),K145&lt;&gt;"",L145&lt;&gt;"",N145&lt;&gt;"",COUNTIFS($A$8:$A$207,A145,$B$8:$B$207,B145,$E$8:$E$207,E145)=1),"READY","Resolve missing / duplicate inputs"))</x:f>
      </x:c>
    </x:row>
    <x:row r="146" ht="25" customHeight="1">
      <x:c r="A146" s="11"/>
      <x:c r="B146" s="10"/>
      <x:c r="C146" s="10"/>
      <x:c r="D146" s="10"/>
      <x:c r="E146" s="10"/>
      <x:c r="F146" s="10"/>
      <x:c r="G146" s="14"/>
      <x:c r="H146" s="14"/>
      <x:c r="I146" s="14"/>
      <x:c r="J146" s="14"/>
      <x:c r="K146" s="10"/>
      <x:c r="L146" s="10"/>
      <x:c r="M146" s="10"/>
      <x:c r="N146" s="10"/>
      <x:c r="O146" s="1" t="str">
        <x:f>IF(COUNTA(A146:N146)=0,"",IF(AND(ISNUMBER(A146),B146&lt;&gt;"",C146&lt;&gt;"",D146&lt;&gt;"",E146&lt;&gt;"",F146="USD",ISNUMBER(G146),OR(H146="YES",H146="NO"),K146&lt;&gt;"",L146&lt;&gt;"",N146&lt;&gt;"",COUNTIFS($A$8:$A$207,A146,$B$8:$B$207,B146,$E$8:$E$207,E146)=1),"READY","Resolve missing / duplicate inputs"))</x:f>
      </x:c>
    </x:row>
    <x:row r="147" ht="25" customHeight="1">
      <x:c r="A147" s="11"/>
      <x:c r="B147" s="10"/>
      <x:c r="C147" s="10"/>
      <x:c r="D147" s="10"/>
      <x:c r="E147" s="10"/>
      <x:c r="F147" s="10"/>
      <x:c r="G147" s="14"/>
      <x:c r="H147" s="14"/>
      <x:c r="I147" s="14"/>
      <x:c r="J147" s="14"/>
      <x:c r="K147" s="10"/>
      <x:c r="L147" s="10"/>
      <x:c r="M147" s="10"/>
      <x:c r="N147" s="10"/>
      <x:c r="O147" s="1" t="str">
        <x:f>IF(COUNTA(A147:N147)=0,"",IF(AND(ISNUMBER(A147),B147&lt;&gt;"",C147&lt;&gt;"",D147&lt;&gt;"",E147&lt;&gt;"",F147="USD",ISNUMBER(G147),OR(H147="YES",H147="NO"),K147&lt;&gt;"",L147&lt;&gt;"",N147&lt;&gt;"",COUNTIFS($A$8:$A$207,A147,$B$8:$B$207,B147,$E$8:$E$207,E147)=1),"READY","Resolve missing / duplicate inputs"))</x:f>
      </x:c>
    </x:row>
    <x:row r="148" ht="25" customHeight="1">
      <x:c r="A148" s="11"/>
      <x:c r="B148" s="10"/>
      <x:c r="C148" s="10"/>
      <x:c r="D148" s="10"/>
      <x:c r="E148" s="10"/>
      <x:c r="F148" s="10"/>
      <x:c r="G148" s="14"/>
      <x:c r="H148" s="14"/>
      <x:c r="I148" s="14"/>
      <x:c r="J148" s="14"/>
      <x:c r="K148" s="10"/>
      <x:c r="L148" s="10"/>
      <x:c r="M148" s="10"/>
      <x:c r="N148" s="10"/>
      <x:c r="O148" s="1" t="str">
        <x:f>IF(COUNTA(A148:N148)=0,"",IF(AND(ISNUMBER(A148),B148&lt;&gt;"",C148&lt;&gt;"",D148&lt;&gt;"",E148&lt;&gt;"",F148="USD",ISNUMBER(G148),OR(H148="YES",H148="NO"),K148&lt;&gt;"",L148&lt;&gt;"",N148&lt;&gt;"",COUNTIFS($A$8:$A$207,A148,$B$8:$B$207,B148,$E$8:$E$207,E148)=1),"READY","Resolve missing / duplicate inputs"))</x:f>
      </x:c>
    </x:row>
    <x:row r="149" ht="25" customHeight="1">
      <x:c r="A149" s="11"/>
      <x:c r="B149" s="10"/>
      <x:c r="C149" s="10"/>
      <x:c r="D149" s="10"/>
      <x:c r="E149" s="10"/>
      <x:c r="F149" s="10"/>
      <x:c r="G149" s="14"/>
      <x:c r="H149" s="14"/>
      <x:c r="I149" s="14"/>
      <x:c r="J149" s="14"/>
      <x:c r="K149" s="10"/>
      <x:c r="L149" s="10"/>
      <x:c r="M149" s="10"/>
      <x:c r="N149" s="10"/>
      <x:c r="O149" s="1" t="str">
        <x:f>IF(COUNTA(A149:N149)=0,"",IF(AND(ISNUMBER(A149),B149&lt;&gt;"",C149&lt;&gt;"",D149&lt;&gt;"",E149&lt;&gt;"",F149="USD",ISNUMBER(G149),OR(H149="YES",H149="NO"),K149&lt;&gt;"",L149&lt;&gt;"",N149&lt;&gt;"",COUNTIFS($A$8:$A$207,A149,$B$8:$B$207,B149,$E$8:$E$207,E149)=1),"READY","Resolve missing / duplicate inputs"))</x:f>
      </x:c>
    </x:row>
    <x:row r="150" ht="25" customHeight="1">
      <x:c r="A150" s="11"/>
      <x:c r="B150" s="10"/>
      <x:c r="C150" s="10"/>
      <x:c r="D150" s="10"/>
      <x:c r="E150" s="10"/>
      <x:c r="F150" s="10"/>
      <x:c r="G150" s="14"/>
      <x:c r="H150" s="14"/>
      <x:c r="I150" s="14"/>
      <x:c r="J150" s="14"/>
      <x:c r="K150" s="10"/>
      <x:c r="L150" s="10"/>
      <x:c r="M150" s="10"/>
      <x:c r="N150" s="10"/>
      <x:c r="O150" s="1" t="str">
        <x:f>IF(COUNTA(A150:N150)=0,"",IF(AND(ISNUMBER(A150),B150&lt;&gt;"",C150&lt;&gt;"",D150&lt;&gt;"",E150&lt;&gt;"",F150="USD",ISNUMBER(G150),OR(H150="YES",H150="NO"),K150&lt;&gt;"",L150&lt;&gt;"",N150&lt;&gt;"",COUNTIFS($A$8:$A$207,A150,$B$8:$B$207,B150,$E$8:$E$207,E150)=1),"READY","Resolve missing / duplicate inputs"))</x:f>
      </x:c>
    </x:row>
    <x:row r="151" ht="25" customHeight="1">
      <x:c r="A151" s="11"/>
      <x:c r="B151" s="10"/>
      <x:c r="C151" s="10"/>
      <x:c r="D151" s="10"/>
      <x:c r="E151" s="10"/>
      <x:c r="F151" s="10"/>
      <x:c r="G151" s="14"/>
      <x:c r="H151" s="14"/>
      <x:c r="I151" s="14"/>
      <x:c r="J151" s="14"/>
      <x:c r="K151" s="10"/>
      <x:c r="L151" s="10"/>
      <x:c r="M151" s="10"/>
      <x:c r="N151" s="10"/>
      <x:c r="O151" s="1" t="str">
        <x:f>IF(COUNTA(A151:N151)=0,"",IF(AND(ISNUMBER(A151),B151&lt;&gt;"",C151&lt;&gt;"",D151&lt;&gt;"",E151&lt;&gt;"",F151="USD",ISNUMBER(G151),OR(H151="YES",H151="NO"),K151&lt;&gt;"",L151&lt;&gt;"",N151&lt;&gt;"",COUNTIFS($A$8:$A$207,A151,$B$8:$B$207,B151,$E$8:$E$207,E151)=1),"READY","Resolve missing / duplicate inputs"))</x:f>
      </x:c>
    </x:row>
    <x:row r="152" ht="25" customHeight="1">
      <x:c r="A152" s="11"/>
      <x:c r="B152" s="10"/>
      <x:c r="C152" s="10"/>
      <x:c r="D152" s="10"/>
      <x:c r="E152" s="10"/>
      <x:c r="F152" s="10"/>
      <x:c r="G152" s="14"/>
      <x:c r="H152" s="14"/>
      <x:c r="I152" s="14"/>
      <x:c r="J152" s="14"/>
      <x:c r="K152" s="10"/>
      <x:c r="L152" s="10"/>
      <x:c r="M152" s="10"/>
      <x:c r="N152" s="10"/>
      <x:c r="O152" s="1" t="str">
        <x:f>IF(COUNTA(A152:N152)=0,"",IF(AND(ISNUMBER(A152),B152&lt;&gt;"",C152&lt;&gt;"",D152&lt;&gt;"",E152&lt;&gt;"",F152="USD",ISNUMBER(G152),OR(H152="YES",H152="NO"),K152&lt;&gt;"",L152&lt;&gt;"",N152&lt;&gt;"",COUNTIFS($A$8:$A$207,A152,$B$8:$B$207,B152,$E$8:$E$207,E152)=1),"READY","Resolve missing / duplicate inputs"))</x:f>
      </x:c>
    </x:row>
    <x:row r="153" ht="25" customHeight="1">
      <x:c r="A153" s="11"/>
      <x:c r="B153" s="10"/>
      <x:c r="C153" s="10"/>
      <x:c r="D153" s="10"/>
      <x:c r="E153" s="10"/>
      <x:c r="F153" s="10"/>
      <x:c r="G153" s="14"/>
      <x:c r="H153" s="14"/>
      <x:c r="I153" s="14"/>
      <x:c r="J153" s="14"/>
      <x:c r="K153" s="10"/>
      <x:c r="L153" s="10"/>
      <x:c r="M153" s="10"/>
      <x:c r="N153" s="10"/>
      <x:c r="O153" s="1" t="str">
        <x:f>IF(COUNTA(A153:N153)=0,"",IF(AND(ISNUMBER(A153),B153&lt;&gt;"",C153&lt;&gt;"",D153&lt;&gt;"",E153&lt;&gt;"",F153="USD",ISNUMBER(G153),OR(H153="YES",H153="NO"),K153&lt;&gt;"",L153&lt;&gt;"",N153&lt;&gt;"",COUNTIFS($A$8:$A$207,A153,$B$8:$B$207,B153,$E$8:$E$207,E153)=1),"READY","Resolve missing / duplicate inputs"))</x:f>
      </x:c>
    </x:row>
    <x:row r="154" ht="25" customHeight="1">
      <x:c r="A154" s="11"/>
      <x:c r="B154" s="10"/>
      <x:c r="C154" s="10"/>
      <x:c r="D154" s="10"/>
      <x:c r="E154" s="10"/>
      <x:c r="F154" s="10"/>
      <x:c r="G154" s="14"/>
      <x:c r="H154" s="14"/>
      <x:c r="I154" s="14"/>
      <x:c r="J154" s="14"/>
      <x:c r="K154" s="10"/>
      <x:c r="L154" s="10"/>
      <x:c r="M154" s="10"/>
      <x:c r="N154" s="10"/>
      <x:c r="O154" s="1" t="str">
        <x:f>IF(COUNTA(A154:N154)=0,"",IF(AND(ISNUMBER(A154),B154&lt;&gt;"",C154&lt;&gt;"",D154&lt;&gt;"",E154&lt;&gt;"",F154="USD",ISNUMBER(G154),OR(H154="YES",H154="NO"),K154&lt;&gt;"",L154&lt;&gt;"",N154&lt;&gt;"",COUNTIFS($A$8:$A$207,A154,$B$8:$B$207,B154,$E$8:$E$207,E154)=1),"READY","Resolve missing / duplicate inputs"))</x:f>
      </x:c>
    </x:row>
    <x:row r="155" ht="25" customHeight="1">
      <x:c r="A155" s="11"/>
      <x:c r="B155" s="10"/>
      <x:c r="C155" s="10"/>
      <x:c r="D155" s="10"/>
      <x:c r="E155" s="10"/>
      <x:c r="F155" s="10"/>
      <x:c r="G155" s="14"/>
      <x:c r="H155" s="14"/>
      <x:c r="I155" s="14"/>
      <x:c r="J155" s="14"/>
      <x:c r="K155" s="10"/>
      <x:c r="L155" s="10"/>
      <x:c r="M155" s="10"/>
      <x:c r="N155" s="10"/>
      <x:c r="O155" s="1" t="str">
        <x:f>IF(COUNTA(A155:N155)=0,"",IF(AND(ISNUMBER(A155),B155&lt;&gt;"",C155&lt;&gt;"",D155&lt;&gt;"",E155&lt;&gt;"",F155="USD",ISNUMBER(G155),OR(H155="YES",H155="NO"),K155&lt;&gt;"",L155&lt;&gt;"",N155&lt;&gt;"",COUNTIFS($A$8:$A$207,A155,$B$8:$B$207,B155,$E$8:$E$207,E155)=1),"READY","Resolve missing / duplicate inputs"))</x:f>
      </x:c>
    </x:row>
    <x:row r="156" ht="25" customHeight="1">
      <x:c r="A156" s="11"/>
      <x:c r="B156" s="10"/>
      <x:c r="C156" s="10"/>
      <x:c r="D156" s="10"/>
      <x:c r="E156" s="10"/>
      <x:c r="F156" s="10"/>
      <x:c r="G156" s="14"/>
      <x:c r="H156" s="14"/>
      <x:c r="I156" s="14"/>
      <x:c r="J156" s="14"/>
      <x:c r="K156" s="10"/>
      <x:c r="L156" s="10"/>
      <x:c r="M156" s="10"/>
      <x:c r="N156" s="10"/>
      <x:c r="O156" s="1" t="str">
        <x:f>IF(COUNTA(A156:N156)=0,"",IF(AND(ISNUMBER(A156),B156&lt;&gt;"",C156&lt;&gt;"",D156&lt;&gt;"",E156&lt;&gt;"",F156="USD",ISNUMBER(G156),OR(H156="YES",H156="NO"),K156&lt;&gt;"",L156&lt;&gt;"",N156&lt;&gt;"",COUNTIFS($A$8:$A$207,A156,$B$8:$B$207,B156,$E$8:$E$207,E156)=1),"READY","Resolve missing / duplicate inputs"))</x:f>
      </x:c>
    </x:row>
    <x:row r="157" ht="25" customHeight="1">
      <x:c r="A157" s="11"/>
      <x:c r="B157" s="10"/>
      <x:c r="C157" s="10"/>
      <x:c r="D157" s="10"/>
      <x:c r="E157" s="10"/>
      <x:c r="F157" s="10"/>
      <x:c r="G157" s="14"/>
      <x:c r="H157" s="14"/>
      <x:c r="I157" s="14"/>
      <x:c r="J157" s="14"/>
      <x:c r="K157" s="10"/>
      <x:c r="L157" s="10"/>
      <x:c r="M157" s="10"/>
      <x:c r="N157" s="10"/>
      <x:c r="O157" s="1" t="str">
        <x:f>IF(COUNTA(A157:N157)=0,"",IF(AND(ISNUMBER(A157),B157&lt;&gt;"",C157&lt;&gt;"",D157&lt;&gt;"",E157&lt;&gt;"",F157="USD",ISNUMBER(G157),OR(H157="YES",H157="NO"),K157&lt;&gt;"",L157&lt;&gt;"",N157&lt;&gt;"",COUNTIFS($A$8:$A$207,A157,$B$8:$B$207,B157,$E$8:$E$207,E157)=1),"READY","Resolve missing / duplicate inputs"))</x:f>
      </x:c>
    </x:row>
    <x:row r="158" ht="25" customHeight="1">
      <x:c r="A158" s="11"/>
      <x:c r="B158" s="10"/>
      <x:c r="C158" s="10"/>
      <x:c r="D158" s="10"/>
      <x:c r="E158" s="10"/>
      <x:c r="F158" s="10"/>
      <x:c r="G158" s="14"/>
      <x:c r="H158" s="14"/>
      <x:c r="I158" s="14"/>
      <x:c r="J158" s="14"/>
      <x:c r="K158" s="10"/>
      <x:c r="L158" s="10"/>
      <x:c r="M158" s="10"/>
      <x:c r="N158" s="10"/>
      <x:c r="O158" s="1" t="str">
        <x:f>IF(COUNTA(A158:N158)=0,"",IF(AND(ISNUMBER(A158),B158&lt;&gt;"",C158&lt;&gt;"",D158&lt;&gt;"",E158&lt;&gt;"",F158="USD",ISNUMBER(G158),OR(H158="YES",H158="NO"),K158&lt;&gt;"",L158&lt;&gt;"",N158&lt;&gt;"",COUNTIFS($A$8:$A$207,A158,$B$8:$B$207,B158,$E$8:$E$207,E158)=1),"READY","Resolve missing / duplicate inputs"))</x:f>
      </x:c>
    </x:row>
    <x:row r="159" ht="25" customHeight="1">
      <x:c r="A159" s="11"/>
      <x:c r="B159" s="10"/>
      <x:c r="C159" s="10"/>
      <x:c r="D159" s="10"/>
      <x:c r="E159" s="10"/>
      <x:c r="F159" s="10"/>
      <x:c r="G159" s="14"/>
      <x:c r="H159" s="14"/>
      <x:c r="I159" s="14"/>
      <x:c r="J159" s="14"/>
      <x:c r="K159" s="10"/>
      <x:c r="L159" s="10"/>
      <x:c r="M159" s="10"/>
      <x:c r="N159" s="10"/>
      <x:c r="O159" s="1" t="str">
        <x:f>IF(COUNTA(A159:N159)=0,"",IF(AND(ISNUMBER(A159),B159&lt;&gt;"",C159&lt;&gt;"",D159&lt;&gt;"",E159&lt;&gt;"",F159="USD",ISNUMBER(G159),OR(H159="YES",H159="NO"),K159&lt;&gt;"",L159&lt;&gt;"",N159&lt;&gt;"",COUNTIFS($A$8:$A$207,A159,$B$8:$B$207,B159,$E$8:$E$207,E159)=1),"READY","Resolve missing / duplicate inputs"))</x:f>
      </x:c>
    </x:row>
    <x:row r="160" ht="25" customHeight="1">
      <x:c r="A160" s="11"/>
      <x:c r="B160" s="10"/>
      <x:c r="C160" s="10"/>
      <x:c r="D160" s="10"/>
      <x:c r="E160" s="10"/>
      <x:c r="F160" s="10"/>
      <x:c r="G160" s="14"/>
      <x:c r="H160" s="14"/>
      <x:c r="I160" s="14"/>
      <x:c r="J160" s="14"/>
      <x:c r="K160" s="10"/>
      <x:c r="L160" s="10"/>
      <x:c r="M160" s="10"/>
      <x:c r="N160" s="10"/>
      <x:c r="O160" s="1" t="str">
        <x:f>IF(COUNTA(A160:N160)=0,"",IF(AND(ISNUMBER(A160),B160&lt;&gt;"",C160&lt;&gt;"",D160&lt;&gt;"",E160&lt;&gt;"",F160="USD",ISNUMBER(G160),OR(H160="YES",H160="NO"),K160&lt;&gt;"",L160&lt;&gt;"",N160&lt;&gt;"",COUNTIFS($A$8:$A$207,A160,$B$8:$B$207,B160,$E$8:$E$207,E160)=1),"READY","Resolve missing / duplicate inputs"))</x:f>
      </x:c>
    </x:row>
    <x:row r="161" ht="25" customHeight="1">
      <x:c r="A161" s="11"/>
      <x:c r="B161" s="10"/>
      <x:c r="C161" s="10"/>
      <x:c r="D161" s="10"/>
      <x:c r="E161" s="10"/>
      <x:c r="F161" s="10"/>
      <x:c r="G161" s="14"/>
      <x:c r="H161" s="14"/>
      <x:c r="I161" s="14"/>
      <x:c r="J161" s="14"/>
      <x:c r="K161" s="10"/>
      <x:c r="L161" s="10"/>
      <x:c r="M161" s="10"/>
      <x:c r="N161" s="10"/>
      <x:c r="O161" s="1" t="str">
        <x:f>IF(COUNTA(A161:N161)=0,"",IF(AND(ISNUMBER(A161),B161&lt;&gt;"",C161&lt;&gt;"",D161&lt;&gt;"",E161&lt;&gt;"",F161="USD",ISNUMBER(G161),OR(H161="YES",H161="NO"),K161&lt;&gt;"",L161&lt;&gt;"",N161&lt;&gt;"",COUNTIFS($A$8:$A$207,A161,$B$8:$B$207,B161,$E$8:$E$207,E161)=1),"READY","Resolve missing / duplicate inputs"))</x:f>
      </x:c>
    </x:row>
    <x:row r="162" ht="25" customHeight="1">
      <x:c r="A162" s="11"/>
      <x:c r="B162" s="10"/>
      <x:c r="C162" s="10"/>
      <x:c r="D162" s="10"/>
      <x:c r="E162" s="10"/>
      <x:c r="F162" s="10"/>
      <x:c r="G162" s="14"/>
      <x:c r="H162" s="14"/>
      <x:c r="I162" s="14"/>
      <x:c r="J162" s="14"/>
      <x:c r="K162" s="10"/>
      <x:c r="L162" s="10"/>
      <x:c r="M162" s="10"/>
      <x:c r="N162" s="10"/>
      <x:c r="O162" s="1" t="str">
        <x:f>IF(COUNTA(A162:N162)=0,"",IF(AND(ISNUMBER(A162),B162&lt;&gt;"",C162&lt;&gt;"",D162&lt;&gt;"",E162&lt;&gt;"",F162="USD",ISNUMBER(G162),OR(H162="YES",H162="NO"),K162&lt;&gt;"",L162&lt;&gt;"",N162&lt;&gt;"",COUNTIFS($A$8:$A$207,A162,$B$8:$B$207,B162,$E$8:$E$207,E162)=1),"READY","Resolve missing / duplicate inputs"))</x:f>
      </x:c>
    </x:row>
    <x:row r="163" ht="25" customHeight="1">
      <x:c r="A163" s="11"/>
      <x:c r="B163" s="10"/>
      <x:c r="C163" s="10"/>
      <x:c r="D163" s="10"/>
      <x:c r="E163" s="10"/>
      <x:c r="F163" s="10"/>
      <x:c r="G163" s="14"/>
      <x:c r="H163" s="14"/>
      <x:c r="I163" s="14"/>
      <x:c r="J163" s="14"/>
      <x:c r="K163" s="10"/>
      <x:c r="L163" s="10"/>
      <x:c r="M163" s="10"/>
      <x:c r="N163" s="10"/>
      <x:c r="O163" s="1" t="str">
        <x:f>IF(COUNTA(A163:N163)=0,"",IF(AND(ISNUMBER(A163),B163&lt;&gt;"",C163&lt;&gt;"",D163&lt;&gt;"",E163&lt;&gt;"",F163="USD",ISNUMBER(G163),OR(H163="YES",H163="NO"),K163&lt;&gt;"",L163&lt;&gt;"",N163&lt;&gt;"",COUNTIFS($A$8:$A$207,A163,$B$8:$B$207,B163,$E$8:$E$207,E163)=1),"READY","Resolve missing / duplicate inputs"))</x:f>
      </x:c>
    </x:row>
    <x:row r="164" ht="25" customHeight="1">
      <x:c r="A164" s="11"/>
      <x:c r="B164" s="10"/>
      <x:c r="C164" s="10"/>
      <x:c r="D164" s="10"/>
      <x:c r="E164" s="10"/>
      <x:c r="F164" s="10"/>
      <x:c r="G164" s="14"/>
      <x:c r="H164" s="14"/>
      <x:c r="I164" s="14"/>
      <x:c r="J164" s="14"/>
      <x:c r="K164" s="10"/>
      <x:c r="L164" s="10"/>
      <x:c r="M164" s="10"/>
      <x:c r="N164" s="10"/>
      <x:c r="O164" s="1" t="str">
        <x:f>IF(COUNTA(A164:N164)=0,"",IF(AND(ISNUMBER(A164),B164&lt;&gt;"",C164&lt;&gt;"",D164&lt;&gt;"",E164&lt;&gt;"",F164="USD",ISNUMBER(G164),OR(H164="YES",H164="NO"),K164&lt;&gt;"",L164&lt;&gt;"",N164&lt;&gt;"",COUNTIFS($A$8:$A$207,A164,$B$8:$B$207,B164,$E$8:$E$207,E164)=1),"READY","Resolve missing / duplicate inputs"))</x:f>
      </x:c>
    </x:row>
    <x:row r="165" ht="25" customHeight="1">
      <x:c r="A165" s="11"/>
      <x:c r="B165" s="10"/>
      <x:c r="C165" s="10"/>
      <x:c r="D165" s="10"/>
      <x:c r="E165" s="10"/>
      <x:c r="F165" s="10"/>
      <x:c r="G165" s="14"/>
      <x:c r="H165" s="14"/>
      <x:c r="I165" s="14"/>
      <x:c r="J165" s="14"/>
      <x:c r="K165" s="10"/>
      <x:c r="L165" s="10"/>
      <x:c r="M165" s="10"/>
      <x:c r="N165" s="10"/>
      <x:c r="O165" s="1" t="str">
        <x:f>IF(COUNTA(A165:N165)=0,"",IF(AND(ISNUMBER(A165),B165&lt;&gt;"",C165&lt;&gt;"",D165&lt;&gt;"",E165&lt;&gt;"",F165="USD",ISNUMBER(G165),OR(H165="YES",H165="NO"),K165&lt;&gt;"",L165&lt;&gt;"",N165&lt;&gt;"",COUNTIFS($A$8:$A$207,A165,$B$8:$B$207,B165,$E$8:$E$207,E165)=1),"READY","Resolve missing / duplicate inputs"))</x:f>
      </x:c>
    </x:row>
    <x:row r="166" ht="25" customHeight="1">
      <x:c r="A166" s="11"/>
      <x:c r="B166" s="10"/>
      <x:c r="C166" s="10"/>
      <x:c r="D166" s="10"/>
      <x:c r="E166" s="10"/>
      <x:c r="F166" s="10"/>
      <x:c r="G166" s="14"/>
      <x:c r="H166" s="14"/>
      <x:c r="I166" s="14"/>
      <x:c r="J166" s="14"/>
      <x:c r="K166" s="10"/>
      <x:c r="L166" s="10"/>
      <x:c r="M166" s="10"/>
      <x:c r="N166" s="10"/>
      <x:c r="O166" s="1" t="str">
        <x:f>IF(COUNTA(A166:N166)=0,"",IF(AND(ISNUMBER(A166),B166&lt;&gt;"",C166&lt;&gt;"",D166&lt;&gt;"",E166&lt;&gt;"",F166="USD",ISNUMBER(G166),OR(H166="YES",H166="NO"),K166&lt;&gt;"",L166&lt;&gt;"",N166&lt;&gt;"",COUNTIFS($A$8:$A$207,A166,$B$8:$B$207,B166,$E$8:$E$207,E166)=1),"READY","Resolve missing / duplicate inputs"))</x:f>
      </x:c>
    </x:row>
    <x:row r="167" ht="25" customHeight="1">
      <x:c r="A167" s="11"/>
      <x:c r="B167" s="10"/>
      <x:c r="C167" s="10"/>
      <x:c r="D167" s="10"/>
      <x:c r="E167" s="10"/>
      <x:c r="F167" s="10"/>
      <x:c r="G167" s="14"/>
      <x:c r="H167" s="14"/>
      <x:c r="I167" s="14"/>
      <x:c r="J167" s="14"/>
      <x:c r="K167" s="10"/>
      <x:c r="L167" s="10"/>
      <x:c r="M167" s="10"/>
      <x:c r="N167" s="10"/>
      <x:c r="O167" s="1" t="str">
        <x:f>IF(COUNTA(A167:N167)=0,"",IF(AND(ISNUMBER(A167),B167&lt;&gt;"",C167&lt;&gt;"",D167&lt;&gt;"",E167&lt;&gt;"",F167="USD",ISNUMBER(G167),OR(H167="YES",H167="NO"),K167&lt;&gt;"",L167&lt;&gt;"",N167&lt;&gt;"",COUNTIFS($A$8:$A$207,A167,$B$8:$B$207,B167,$E$8:$E$207,E167)=1),"READY","Resolve missing / duplicate inputs"))</x:f>
      </x:c>
    </x:row>
    <x:row r="168" ht="25" customHeight="1">
      <x:c r="A168" s="11"/>
      <x:c r="B168" s="10"/>
      <x:c r="C168" s="10"/>
      <x:c r="D168" s="10"/>
      <x:c r="E168" s="10"/>
      <x:c r="F168" s="10"/>
      <x:c r="G168" s="14"/>
      <x:c r="H168" s="14"/>
      <x:c r="I168" s="14"/>
      <x:c r="J168" s="14"/>
      <x:c r="K168" s="10"/>
      <x:c r="L168" s="10"/>
      <x:c r="M168" s="10"/>
      <x:c r="N168" s="10"/>
      <x:c r="O168" s="1" t="str">
        <x:f>IF(COUNTA(A168:N168)=0,"",IF(AND(ISNUMBER(A168),B168&lt;&gt;"",C168&lt;&gt;"",D168&lt;&gt;"",E168&lt;&gt;"",F168="USD",ISNUMBER(G168),OR(H168="YES",H168="NO"),K168&lt;&gt;"",L168&lt;&gt;"",N168&lt;&gt;"",COUNTIFS($A$8:$A$207,A168,$B$8:$B$207,B168,$E$8:$E$207,E168)=1),"READY","Resolve missing / duplicate inputs"))</x:f>
      </x:c>
    </x:row>
    <x:row r="169" ht="25" customHeight="1">
      <x:c r="A169" s="11"/>
      <x:c r="B169" s="10"/>
      <x:c r="C169" s="10"/>
      <x:c r="D169" s="10"/>
      <x:c r="E169" s="10"/>
      <x:c r="F169" s="10"/>
      <x:c r="G169" s="14"/>
      <x:c r="H169" s="14"/>
      <x:c r="I169" s="14"/>
      <x:c r="J169" s="14"/>
      <x:c r="K169" s="10"/>
      <x:c r="L169" s="10"/>
      <x:c r="M169" s="10"/>
      <x:c r="N169" s="10"/>
      <x:c r="O169" s="1" t="str">
        <x:f>IF(COUNTA(A169:N169)=0,"",IF(AND(ISNUMBER(A169),B169&lt;&gt;"",C169&lt;&gt;"",D169&lt;&gt;"",E169&lt;&gt;"",F169="USD",ISNUMBER(G169),OR(H169="YES",H169="NO"),K169&lt;&gt;"",L169&lt;&gt;"",N169&lt;&gt;"",COUNTIFS($A$8:$A$207,A169,$B$8:$B$207,B169,$E$8:$E$207,E169)=1),"READY","Resolve missing / duplicate inputs"))</x:f>
      </x:c>
    </x:row>
    <x:row r="170" ht="25" customHeight="1">
      <x:c r="A170" s="11"/>
      <x:c r="B170" s="10"/>
      <x:c r="C170" s="10"/>
      <x:c r="D170" s="10"/>
      <x:c r="E170" s="10"/>
      <x:c r="F170" s="10"/>
      <x:c r="G170" s="14"/>
      <x:c r="H170" s="14"/>
      <x:c r="I170" s="14"/>
      <x:c r="J170" s="14"/>
      <x:c r="K170" s="10"/>
      <x:c r="L170" s="10"/>
      <x:c r="M170" s="10"/>
      <x:c r="N170" s="10"/>
      <x:c r="O170" s="1" t="str">
        <x:f>IF(COUNTA(A170:N170)=0,"",IF(AND(ISNUMBER(A170),B170&lt;&gt;"",C170&lt;&gt;"",D170&lt;&gt;"",E170&lt;&gt;"",F170="USD",ISNUMBER(G170),OR(H170="YES",H170="NO"),K170&lt;&gt;"",L170&lt;&gt;"",N170&lt;&gt;"",COUNTIFS($A$8:$A$207,A170,$B$8:$B$207,B170,$E$8:$E$207,E170)=1),"READY","Resolve missing / duplicate inputs"))</x:f>
      </x:c>
    </x:row>
    <x:row r="171" ht="25" customHeight="1">
      <x:c r="A171" s="11"/>
      <x:c r="B171" s="10"/>
      <x:c r="C171" s="10"/>
      <x:c r="D171" s="10"/>
      <x:c r="E171" s="10"/>
      <x:c r="F171" s="10"/>
      <x:c r="G171" s="14"/>
      <x:c r="H171" s="14"/>
      <x:c r="I171" s="14"/>
      <x:c r="J171" s="14"/>
      <x:c r="K171" s="10"/>
      <x:c r="L171" s="10"/>
      <x:c r="M171" s="10"/>
      <x:c r="N171" s="10"/>
      <x:c r="O171" s="1" t="str">
        <x:f>IF(COUNTA(A171:N171)=0,"",IF(AND(ISNUMBER(A171),B171&lt;&gt;"",C171&lt;&gt;"",D171&lt;&gt;"",E171&lt;&gt;"",F171="USD",ISNUMBER(G171),OR(H171="YES",H171="NO"),K171&lt;&gt;"",L171&lt;&gt;"",N171&lt;&gt;"",COUNTIFS($A$8:$A$207,A171,$B$8:$B$207,B171,$E$8:$E$207,E171)=1),"READY","Resolve missing / duplicate inputs"))</x:f>
      </x:c>
    </x:row>
    <x:row r="172" ht="25" customHeight="1">
      <x:c r="A172" s="11"/>
      <x:c r="B172" s="10"/>
      <x:c r="C172" s="10"/>
      <x:c r="D172" s="10"/>
      <x:c r="E172" s="10"/>
      <x:c r="F172" s="10"/>
      <x:c r="G172" s="14"/>
      <x:c r="H172" s="14"/>
      <x:c r="I172" s="14"/>
      <x:c r="J172" s="14"/>
      <x:c r="K172" s="10"/>
      <x:c r="L172" s="10"/>
      <x:c r="M172" s="10"/>
      <x:c r="N172" s="10"/>
      <x:c r="O172" s="1" t="str">
        <x:f>IF(COUNTA(A172:N172)=0,"",IF(AND(ISNUMBER(A172),B172&lt;&gt;"",C172&lt;&gt;"",D172&lt;&gt;"",E172&lt;&gt;"",F172="USD",ISNUMBER(G172),OR(H172="YES",H172="NO"),K172&lt;&gt;"",L172&lt;&gt;"",N172&lt;&gt;"",COUNTIFS($A$8:$A$207,A172,$B$8:$B$207,B172,$E$8:$E$207,E172)=1),"READY","Resolve missing / duplicate inputs"))</x:f>
      </x:c>
    </x:row>
    <x:row r="173" ht="25" customHeight="1">
      <x:c r="A173" s="11"/>
      <x:c r="B173" s="10"/>
      <x:c r="C173" s="10"/>
      <x:c r="D173" s="10"/>
      <x:c r="E173" s="10"/>
      <x:c r="F173" s="10"/>
      <x:c r="G173" s="14"/>
      <x:c r="H173" s="14"/>
      <x:c r="I173" s="14"/>
      <x:c r="J173" s="14"/>
      <x:c r="K173" s="10"/>
      <x:c r="L173" s="10"/>
      <x:c r="M173" s="10"/>
      <x:c r="N173" s="10"/>
      <x:c r="O173" s="1" t="str">
        <x:f>IF(COUNTA(A173:N173)=0,"",IF(AND(ISNUMBER(A173),B173&lt;&gt;"",C173&lt;&gt;"",D173&lt;&gt;"",E173&lt;&gt;"",F173="USD",ISNUMBER(G173),OR(H173="YES",H173="NO"),K173&lt;&gt;"",L173&lt;&gt;"",N173&lt;&gt;"",COUNTIFS($A$8:$A$207,A173,$B$8:$B$207,B173,$E$8:$E$207,E173)=1),"READY","Resolve missing / duplicate inputs"))</x:f>
      </x:c>
    </x:row>
    <x:row r="174" ht="25" customHeight="1">
      <x:c r="A174" s="11"/>
      <x:c r="B174" s="10"/>
      <x:c r="C174" s="10"/>
      <x:c r="D174" s="10"/>
      <x:c r="E174" s="10"/>
      <x:c r="F174" s="10"/>
      <x:c r="G174" s="14"/>
      <x:c r="H174" s="14"/>
      <x:c r="I174" s="14"/>
      <x:c r="J174" s="14"/>
      <x:c r="K174" s="10"/>
      <x:c r="L174" s="10"/>
      <x:c r="M174" s="10"/>
      <x:c r="N174" s="10"/>
      <x:c r="O174" s="1" t="str">
        <x:f>IF(COUNTA(A174:N174)=0,"",IF(AND(ISNUMBER(A174),B174&lt;&gt;"",C174&lt;&gt;"",D174&lt;&gt;"",E174&lt;&gt;"",F174="USD",ISNUMBER(G174),OR(H174="YES",H174="NO"),K174&lt;&gt;"",L174&lt;&gt;"",N174&lt;&gt;"",COUNTIFS($A$8:$A$207,A174,$B$8:$B$207,B174,$E$8:$E$207,E174)=1),"READY","Resolve missing / duplicate inputs"))</x:f>
      </x:c>
    </x:row>
    <x:row r="175" ht="25" customHeight="1">
      <x:c r="A175" s="11"/>
      <x:c r="B175" s="10"/>
      <x:c r="C175" s="10"/>
      <x:c r="D175" s="10"/>
      <x:c r="E175" s="10"/>
      <x:c r="F175" s="10"/>
      <x:c r="G175" s="14"/>
      <x:c r="H175" s="14"/>
      <x:c r="I175" s="14"/>
      <x:c r="J175" s="14"/>
      <x:c r="K175" s="10"/>
      <x:c r="L175" s="10"/>
      <x:c r="M175" s="10"/>
      <x:c r="N175" s="10"/>
      <x:c r="O175" s="1" t="str">
        <x:f>IF(COUNTA(A175:N175)=0,"",IF(AND(ISNUMBER(A175),B175&lt;&gt;"",C175&lt;&gt;"",D175&lt;&gt;"",E175&lt;&gt;"",F175="USD",ISNUMBER(G175),OR(H175="YES",H175="NO"),K175&lt;&gt;"",L175&lt;&gt;"",N175&lt;&gt;"",COUNTIFS($A$8:$A$207,A175,$B$8:$B$207,B175,$E$8:$E$207,E175)=1),"READY","Resolve missing / duplicate inputs"))</x:f>
      </x:c>
    </x:row>
    <x:row r="176" ht="25" customHeight="1">
      <x:c r="A176" s="11"/>
      <x:c r="B176" s="10"/>
      <x:c r="C176" s="10"/>
      <x:c r="D176" s="10"/>
      <x:c r="E176" s="10"/>
      <x:c r="F176" s="10"/>
      <x:c r="G176" s="14"/>
      <x:c r="H176" s="14"/>
      <x:c r="I176" s="14"/>
      <x:c r="J176" s="14"/>
      <x:c r="K176" s="10"/>
      <x:c r="L176" s="10"/>
      <x:c r="M176" s="10"/>
      <x:c r="N176" s="10"/>
      <x:c r="O176" s="1" t="str">
        <x:f>IF(COUNTA(A176:N176)=0,"",IF(AND(ISNUMBER(A176),B176&lt;&gt;"",C176&lt;&gt;"",D176&lt;&gt;"",E176&lt;&gt;"",F176="USD",ISNUMBER(G176),OR(H176="YES",H176="NO"),K176&lt;&gt;"",L176&lt;&gt;"",N176&lt;&gt;"",COUNTIFS($A$8:$A$207,A176,$B$8:$B$207,B176,$E$8:$E$207,E176)=1),"READY","Resolve missing / duplicate inputs"))</x:f>
      </x:c>
    </x:row>
    <x:row r="177" ht="25" customHeight="1">
      <x:c r="A177" s="11"/>
      <x:c r="B177" s="10"/>
      <x:c r="C177" s="10"/>
      <x:c r="D177" s="10"/>
      <x:c r="E177" s="10"/>
      <x:c r="F177" s="10"/>
      <x:c r="G177" s="14"/>
      <x:c r="H177" s="14"/>
      <x:c r="I177" s="14"/>
      <x:c r="J177" s="14"/>
      <x:c r="K177" s="10"/>
      <x:c r="L177" s="10"/>
      <x:c r="M177" s="10"/>
      <x:c r="N177" s="10"/>
      <x:c r="O177" s="1" t="str">
        <x:f>IF(COUNTA(A177:N177)=0,"",IF(AND(ISNUMBER(A177),B177&lt;&gt;"",C177&lt;&gt;"",D177&lt;&gt;"",E177&lt;&gt;"",F177="USD",ISNUMBER(G177),OR(H177="YES",H177="NO"),K177&lt;&gt;"",L177&lt;&gt;"",N177&lt;&gt;"",COUNTIFS($A$8:$A$207,A177,$B$8:$B$207,B177,$E$8:$E$207,E177)=1),"READY","Resolve missing / duplicate inputs"))</x:f>
      </x:c>
    </x:row>
    <x:row r="178" ht="25" customHeight="1">
      <x:c r="A178" s="11"/>
      <x:c r="B178" s="10"/>
      <x:c r="C178" s="10"/>
      <x:c r="D178" s="10"/>
      <x:c r="E178" s="10"/>
      <x:c r="F178" s="10"/>
      <x:c r="G178" s="14"/>
      <x:c r="H178" s="14"/>
      <x:c r="I178" s="14"/>
      <x:c r="J178" s="14"/>
      <x:c r="K178" s="10"/>
      <x:c r="L178" s="10"/>
      <x:c r="M178" s="10"/>
      <x:c r="N178" s="10"/>
      <x:c r="O178" s="1" t="str">
        <x:f>IF(COUNTA(A178:N178)=0,"",IF(AND(ISNUMBER(A178),B178&lt;&gt;"",C178&lt;&gt;"",D178&lt;&gt;"",E178&lt;&gt;"",F178="USD",ISNUMBER(G178),OR(H178="YES",H178="NO"),K178&lt;&gt;"",L178&lt;&gt;"",N178&lt;&gt;"",COUNTIFS($A$8:$A$207,A178,$B$8:$B$207,B178,$E$8:$E$207,E178)=1),"READY","Resolve missing / duplicate inputs"))</x:f>
      </x:c>
    </x:row>
    <x:row r="179" ht="25" customHeight="1">
      <x:c r="A179" s="11"/>
      <x:c r="B179" s="10"/>
      <x:c r="C179" s="10"/>
      <x:c r="D179" s="10"/>
      <x:c r="E179" s="10"/>
      <x:c r="F179" s="10"/>
      <x:c r="G179" s="14"/>
      <x:c r="H179" s="14"/>
      <x:c r="I179" s="14"/>
      <x:c r="J179" s="14"/>
      <x:c r="K179" s="10"/>
      <x:c r="L179" s="10"/>
      <x:c r="M179" s="10"/>
      <x:c r="N179" s="10"/>
      <x:c r="O179" s="1" t="str">
        <x:f>IF(COUNTA(A179:N179)=0,"",IF(AND(ISNUMBER(A179),B179&lt;&gt;"",C179&lt;&gt;"",D179&lt;&gt;"",E179&lt;&gt;"",F179="USD",ISNUMBER(G179),OR(H179="YES",H179="NO"),K179&lt;&gt;"",L179&lt;&gt;"",N179&lt;&gt;"",COUNTIFS($A$8:$A$207,A179,$B$8:$B$207,B179,$E$8:$E$207,E179)=1),"READY","Resolve missing / duplicate inputs"))</x:f>
      </x:c>
    </x:row>
    <x:row r="180" ht="25" customHeight="1">
      <x:c r="A180" s="11"/>
      <x:c r="B180" s="10"/>
      <x:c r="C180" s="10"/>
      <x:c r="D180" s="10"/>
      <x:c r="E180" s="10"/>
      <x:c r="F180" s="10"/>
      <x:c r="G180" s="14"/>
      <x:c r="H180" s="14"/>
      <x:c r="I180" s="14"/>
      <x:c r="J180" s="14"/>
      <x:c r="K180" s="10"/>
      <x:c r="L180" s="10"/>
      <x:c r="M180" s="10"/>
      <x:c r="N180" s="10"/>
      <x:c r="O180" s="1" t="str">
        <x:f>IF(COUNTA(A180:N180)=0,"",IF(AND(ISNUMBER(A180),B180&lt;&gt;"",C180&lt;&gt;"",D180&lt;&gt;"",E180&lt;&gt;"",F180="USD",ISNUMBER(G180),OR(H180="YES",H180="NO"),K180&lt;&gt;"",L180&lt;&gt;"",N180&lt;&gt;"",COUNTIFS($A$8:$A$207,A180,$B$8:$B$207,B180,$E$8:$E$207,E180)=1),"READY","Resolve missing / duplicate inputs"))</x:f>
      </x:c>
    </x:row>
    <x:row r="181" ht="25" customHeight="1">
      <x:c r="A181" s="11"/>
      <x:c r="B181" s="10"/>
      <x:c r="C181" s="10"/>
      <x:c r="D181" s="10"/>
      <x:c r="E181" s="10"/>
      <x:c r="F181" s="10"/>
      <x:c r="G181" s="14"/>
      <x:c r="H181" s="14"/>
      <x:c r="I181" s="14"/>
      <x:c r="J181" s="14"/>
      <x:c r="K181" s="10"/>
      <x:c r="L181" s="10"/>
      <x:c r="M181" s="10"/>
      <x:c r="N181" s="10"/>
      <x:c r="O181" s="1" t="str">
        <x:f>IF(COUNTA(A181:N181)=0,"",IF(AND(ISNUMBER(A181),B181&lt;&gt;"",C181&lt;&gt;"",D181&lt;&gt;"",E181&lt;&gt;"",F181="USD",ISNUMBER(G181),OR(H181="YES",H181="NO"),K181&lt;&gt;"",L181&lt;&gt;"",N181&lt;&gt;"",COUNTIFS($A$8:$A$207,A181,$B$8:$B$207,B181,$E$8:$E$207,E181)=1),"READY","Resolve missing / duplicate inputs"))</x:f>
      </x:c>
    </x:row>
    <x:row r="182" ht="25" customHeight="1">
      <x:c r="A182" s="11"/>
      <x:c r="B182" s="10"/>
      <x:c r="C182" s="10"/>
      <x:c r="D182" s="10"/>
      <x:c r="E182" s="10"/>
      <x:c r="F182" s="10"/>
      <x:c r="G182" s="14"/>
      <x:c r="H182" s="14"/>
      <x:c r="I182" s="14"/>
      <x:c r="J182" s="14"/>
      <x:c r="K182" s="10"/>
      <x:c r="L182" s="10"/>
      <x:c r="M182" s="10"/>
      <x:c r="N182" s="10"/>
      <x:c r="O182" s="1" t="str">
        <x:f>IF(COUNTA(A182:N182)=0,"",IF(AND(ISNUMBER(A182),B182&lt;&gt;"",C182&lt;&gt;"",D182&lt;&gt;"",E182&lt;&gt;"",F182="USD",ISNUMBER(G182),OR(H182="YES",H182="NO"),K182&lt;&gt;"",L182&lt;&gt;"",N182&lt;&gt;"",COUNTIFS($A$8:$A$207,A182,$B$8:$B$207,B182,$E$8:$E$207,E182)=1),"READY","Resolve missing / duplicate inputs"))</x:f>
      </x:c>
    </x:row>
    <x:row r="183" ht="25" customHeight="1">
      <x:c r="A183" s="11"/>
      <x:c r="B183" s="10"/>
      <x:c r="C183" s="10"/>
      <x:c r="D183" s="10"/>
      <x:c r="E183" s="10"/>
      <x:c r="F183" s="10"/>
      <x:c r="G183" s="14"/>
      <x:c r="H183" s="14"/>
      <x:c r="I183" s="14"/>
      <x:c r="J183" s="14"/>
      <x:c r="K183" s="10"/>
      <x:c r="L183" s="10"/>
      <x:c r="M183" s="10"/>
      <x:c r="N183" s="10"/>
      <x:c r="O183" s="1" t="str">
        <x:f>IF(COUNTA(A183:N183)=0,"",IF(AND(ISNUMBER(A183),B183&lt;&gt;"",C183&lt;&gt;"",D183&lt;&gt;"",E183&lt;&gt;"",F183="USD",ISNUMBER(G183),OR(H183="YES",H183="NO"),K183&lt;&gt;"",L183&lt;&gt;"",N183&lt;&gt;"",COUNTIFS($A$8:$A$207,A183,$B$8:$B$207,B183,$E$8:$E$207,E183)=1),"READY","Resolve missing / duplicate inputs"))</x:f>
      </x:c>
    </x:row>
    <x:row r="184" ht="25" customHeight="1">
      <x:c r="A184" s="11"/>
      <x:c r="B184" s="10"/>
      <x:c r="C184" s="10"/>
      <x:c r="D184" s="10"/>
      <x:c r="E184" s="10"/>
      <x:c r="F184" s="10"/>
      <x:c r="G184" s="14"/>
      <x:c r="H184" s="14"/>
      <x:c r="I184" s="14"/>
      <x:c r="J184" s="14"/>
      <x:c r="K184" s="10"/>
      <x:c r="L184" s="10"/>
      <x:c r="M184" s="10"/>
      <x:c r="N184" s="10"/>
      <x:c r="O184" s="1" t="str">
        <x:f>IF(COUNTA(A184:N184)=0,"",IF(AND(ISNUMBER(A184),B184&lt;&gt;"",C184&lt;&gt;"",D184&lt;&gt;"",E184&lt;&gt;"",F184="USD",ISNUMBER(G184),OR(H184="YES",H184="NO"),K184&lt;&gt;"",L184&lt;&gt;"",N184&lt;&gt;"",COUNTIFS($A$8:$A$207,A184,$B$8:$B$207,B184,$E$8:$E$207,E184)=1),"READY","Resolve missing / duplicate inputs"))</x:f>
      </x:c>
    </x:row>
    <x:row r="185" ht="25" customHeight="1">
      <x:c r="A185" s="11"/>
      <x:c r="B185" s="10"/>
      <x:c r="C185" s="10"/>
      <x:c r="D185" s="10"/>
      <x:c r="E185" s="10"/>
      <x:c r="F185" s="10"/>
      <x:c r="G185" s="14"/>
      <x:c r="H185" s="14"/>
      <x:c r="I185" s="14"/>
      <x:c r="J185" s="14"/>
      <x:c r="K185" s="10"/>
      <x:c r="L185" s="10"/>
      <x:c r="M185" s="10"/>
      <x:c r="N185" s="10"/>
      <x:c r="O185" s="1" t="str">
        <x:f>IF(COUNTA(A185:N185)=0,"",IF(AND(ISNUMBER(A185),B185&lt;&gt;"",C185&lt;&gt;"",D185&lt;&gt;"",E185&lt;&gt;"",F185="USD",ISNUMBER(G185),OR(H185="YES",H185="NO"),K185&lt;&gt;"",L185&lt;&gt;"",N185&lt;&gt;"",COUNTIFS($A$8:$A$207,A185,$B$8:$B$207,B185,$E$8:$E$207,E185)=1),"READY","Resolve missing / duplicate inputs"))</x:f>
      </x:c>
    </x:row>
    <x:row r="186" ht="25" customHeight="1">
      <x:c r="A186" s="11"/>
      <x:c r="B186" s="10"/>
      <x:c r="C186" s="10"/>
      <x:c r="D186" s="10"/>
      <x:c r="E186" s="10"/>
      <x:c r="F186" s="10"/>
      <x:c r="G186" s="14"/>
      <x:c r="H186" s="14"/>
      <x:c r="I186" s="14"/>
      <x:c r="J186" s="14"/>
      <x:c r="K186" s="10"/>
      <x:c r="L186" s="10"/>
      <x:c r="M186" s="10"/>
      <x:c r="N186" s="10"/>
      <x:c r="O186" s="1" t="str">
        <x:f>IF(COUNTA(A186:N186)=0,"",IF(AND(ISNUMBER(A186),B186&lt;&gt;"",C186&lt;&gt;"",D186&lt;&gt;"",E186&lt;&gt;"",F186="USD",ISNUMBER(G186),OR(H186="YES",H186="NO"),K186&lt;&gt;"",L186&lt;&gt;"",N186&lt;&gt;"",COUNTIFS($A$8:$A$207,A186,$B$8:$B$207,B186,$E$8:$E$207,E186)=1),"READY","Resolve missing / duplicate inputs"))</x:f>
      </x:c>
    </x:row>
    <x:row r="187" ht="25" customHeight="1">
      <x:c r="A187" s="11"/>
      <x:c r="B187" s="10"/>
      <x:c r="C187" s="10"/>
      <x:c r="D187" s="10"/>
      <x:c r="E187" s="10"/>
      <x:c r="F187" s="10"/>
      <x:c r="G187" s="14"/>
      <x:c r="H187" s="14"/>
      <x:c r="I187" s="14"/>
      <x:c r="J187" s="14"/>
      <x:c r="K187" s="10"/>
      <x:c r="L187" s="10"/>
      <x:c r="M187" s="10"/>
      <x:c r="N187" s="10"/>
      <x:c r="O187" s="1" t="str">
        <x:f>IF(COUNTA(A187:N187)=0,"",IF(AND(ISNUMBER(A187),B187&lt;&gt;"",C187&lt;&gt;"",D187&lt;&gt;"",E187&lt;&gt;"",F187="USD",ISNUMBER(G187),OR(H187="YES",H187="NO"),K187&lt;&gt;"",L187&lt;&gt;"",N187&lt;&gt;"",COUNTIFS($A$8:$A$207,A187,$B$8:$B$207,B187,$E$8:$E$207,E187)=1),"READY","Resolve missing / duplicate inputs"))</x:f>
      </x:c>
    </x:row>
    <x:row r="188" ht="25" customHeight="1">
      <x:c r="A188" s="11"/>
      <x:c r="B188" s="10"/>
      <x:c r="C188" s="10"/>
      <x:c r="D188" s="10"/>
      <x:c r="E188" s="10"/>
      <x:c r="F188" s="10"/>
      <x:c r="G188" s="14"/>
      <x:c r="H188" s="14"/>
      <x:c r="I188" s="14"/>
      <x:c r="J188" s="14"/>
      <x:c r="K188" s="10"/>
      <x:c r="L188" s="10"/>
      <x:c r="M188" s="10"/>
      <x:c r="N188" s="10"/>
      <x:c r="O188" s="1" t="str">
        <x:f>IF(COUNTA(A188:N188)=0,"",IF(AND(ISNUMBER(A188),B188&lt;&gt;"",C188&lt;&gt;"",D188&lt;&gt;"",E188&lt;&gt;"",F188="USD",ISNUMBER(G188),OR(H188="YES",H188="NO"),K188&lt;&gt;"",L188&lt;&gt;"",N188&lt;&gt;"",COUNTIFS($A$8:$A$207,A188,$B$8:$B$207,B188,$E$8:$E$207,E188)=1),"READY","Resolve missing / duplicate inputs"))</x:f>
      </x:c>
    </x:row>
    <x:row r="189" ht="25" customHeight="1">
      <x:c r="A189" s="11"/>
      <x:c r="B189" s="10"/>
      <x:c r="C189" s="10"/>
      <x:c r="D189" s="10"/>
      <x:c r="E189" s="10"/>
      <x:c r="F189" s="10"/>
      <x:c r="G189" s="14"/>
      <x:c r="H189" s="14"/>
      <x:c r="I189" s="14"/>
      <x:c r="J189" s="14"/>
      <x:c r="K189" s="10"/>
      <x:c r="L189" s="10"/>
      <x:c r="M189" s="10"/>
      <x:c r="N189" s="10"/>
      <x:c r="O189" s="1" t="str">
        <x:f>IF(COUNTA(A189:N189)=0,"",IF(AND(ISNUMBER(A189),B189&lt;&gt;"",C189&lt;&gt;"",D189&lt;&gt;"",E189&lt;&gt;"",F189="USD",ISNUMBER(G189),OR(H189="YES",H189="NO"),K189&lt;&gt;"",L189&lt;&gt;"",N189&lt;&gt;"",COUNTIFS($A$8:$A$207,A189,$B$8:$B$207,B189,$E$8:$E$207,E189)=1),"READY","Resolve missing / duplicate inputs"))</x:f>
      </x:c>
    </x:row>
    <x:row r="190" ht="25" customHeight="1">
      <x:c r="A190" s="11"/>
      <x:c r="B190" s="10"/>
      <x:c r="C190" s="10"/>
      <x:c r="D190" s="10"/>
      <x:c r="E190" s="10"/>
      <x:c r="F190" s="10"/>
      <x:c r="G190" s="14"/>
      <x:c r="H190" s="14"/>
      <x:c r="I190" s="14"/>
      <x:c r="J190" s="14"/>
      <x:c r="K190" s="10"/>
      <x:c r="L190" s="10"/>
      <x:c r="M190" s="10"/>
      <x:c r="N190" s="10"/>
      <x:c r="O190" s="1" t="str">
        <x:f>IF(COUNTA(A190:N190)=0,"",IF(AND(ISNUMBER(A190),B190&lt;&gt;"",C190&lt;&gt;"",D190&lt;&gt;"",E190&lt;&gt;"",F190="USD",ISNUMBER(G190),OR(H190="YES",H190="NO"),K190&lt;&gt;"",L190&lt;&gt;"",N190&lt;&gt;"",COUNTIFS($A$8:$A$207,A190,$B$8:$B$207,B190,$E$8:$E$207,E190)=1),"READY","Resolve missing / duplicate inputs"))</x:f>
      </x:c>
    </x:row>
    <x:row r="191" ht="25" customHeight="1">
      <x:c r="A191" s="11"/>
      <x:c r="B191" s="10"/>
      <x:c r="C191" s="10"/>
      <x:c r="D191" s="10"/>
      <x:c r="E191" s="10"/>
      <x:c r="F191" s="10"/>
      <x:c r="G191" s="14"/>
      <x:c r="H191" s="14"/>
      <x:c r="I191" s="14"/>
      <x:c r="J191" s="14"/>
      <x:c r="K191" s="10"/>
      <x:c r="L191" s="10"/>
      <x:c r="M191" s="10"/>
      <x:c r="N191" s="10"/>
      <x:c r="O191" s="1" t="str">
        <x:f>IF(COUNTA(A191:N191)=0,"",IF(AND(ISNUMBER(A191),B191&lt;&gt;"",C191&lt;&gt;"",D191&lt;&gt;"",E191&lt;&gt;"",F191="USD",ISNUMBER(G191),OR(H191="YES",H191="NO"),K191&lt;&gt;"",L191&lt;&gt;"",N191&lt;&gt;"",COUNTIFS($A$8:$A$207,A191,$B$8:$B$207,B191,$E$8:$E$207,E191)=1),"READY","Resolve missing / duplicate inputs"))</x:f>
      </x:c>
    </x:row>
    <x:row r="192" ht="25" customHeight="1">
      <x:c r="A192" s="11"/>
      <x:c r="B192" s="10"/>
      <x:c r="C192" s="10"/>
      <x:c r="D192" s="10"/>
      <x:c r="E192" s="10"/>
      <x:c r="F192" s="10"/>
      <x:c r="G192" s="14"/>
      <x:c r="H192" s="14"/>
      <x:c r="I192" s="14"/>
      <x:c r="J192" s="14"/>
      <x:c r="K192" s="10"/>
      <x:c r="L192" s="10"/>
      <x:c r="M192" s="10"/>
      <x:c r="N192" s="10"/>
      <x:c r="O192" s="1" t="str">
        <x:f>IF(COUNTA(A192:N192)=0,"",IF(AND(ISNUMBER(A192),B192&lt;&gt;"",C192&lt;&gt;"",D192&lt;&gt;"",E192&lt;&gt;"",F192="USD",ISNUMBER(G192),OR(H192="YES",H192="NO"),K192&lt;&gt;"",L192&lt;&gt;"",N192&lt;&gt;"",COUNTIFS($A$8:$A$207,A192,$B$8:$B$207,B192,$E$8:$E$207,E192)=1),"READY","Resolve missing / duplicate inputs"))</x:f>
      </x:c>
    </x:row>
    <x:row r="193" ht="25" customHeight="1">
      <x:c r="A193" s="11"/>
      <x:c r="B193" s="10"/>
      <x:c r="C193" s="10"/>
      <x:c r="D193" s="10"/>
      <x:c r="E193" s="10"/>
      <x:c r="F193" s="10"/>
      <x:c r="G193" s="14"/>
      <x:c r="H193" s="14"/>
      <x:c r="I193" s="14"/>
      <x:c r="J193" s="14"/>
      <x:c r="K193" s="10"/>
      <x:c r="L193" s="10"/>
      <x:c r="M193" s="10"/>
      <x:c r="N193" s="10"/>
      <x:c r="O193" s="1" t="str">
        <x:f>IF(COUNTA(A193:N193)=0,"",IF(AND(ISNUMBER(A193),B193&lt;&gt;"",C193&lt;&gt;"",D193&lt;&gt;"",E193&lt;&gt;"",F193="USD",ISNUMBER(G193),OR(H193="YES",H193="NO"),K193&lt;&gt;"",L193&lt;&gt;"",N193&lt;&gt;"",COUNTIFS($A$8:$A$207,A193,$B$8:$B$207,B193,$E$8:$E$207,E193)=1),"READY","Resolve missing / duplicate inputs"))</x:f>
      </x:c>
    </x:row>
    <x:row r="194" ht="25" customHeight="1">
      <x:c r="A194" s="11"/>
      <x:c r="B194" s="10"/>
      <x:c r="C194" s="10"/>
      <x:c r="D194" s="10"/>
      <x:c r="E194" s="10"/>
      <x:c r="F194" s="10"/>
      <x:c r="G194" s="14"/>
      <x:c r="H194" s="14"/>
      <x:c r="I194" s="14"/>
      <x:c r="J194" s="14"/>
      <x:c r="K194" s="10"/>
      <x:c r="L194" s="10"/>
      <x:c r="M194" s="10"/>
      <x:c r="N194" s="10"/>
      <x:c r="O194" s="1" t="str">
        <x:f>IF(COUNTA(A194:N194)=0,"",IF(AND(ISNUMBER(A194),B194&lt;&gt;"",C194&lt;&gt;"",D194&lt;&gt;"",E194&lt;&gt;"",F194="USD",ISNUMBER(G194),OR(H194="YES",H194="NO"),K194&lt;&gt;"",L194&lt;&gt;"",N194&lt;&gt;"",COUNTIFS($A$8:$A$207,A194,$B$8:$B$207,B194,$E$8:$E$207,E194)=1),"READY","Resolve missing / duplicate inputs"))</x:f>
      </x:c>
    </x:row>
    <x:row r="195" ht="25" customHeight="1">
      <x:c r="A195" s="11"/>
      <x:c r="B195" s="10"/>
      <x:c r="C195" s="10"/>
      <x:c r="D195" s="10"/>
      <x:c r="E195" s="10"/>
      <x:c r="F195" s="10"/>
      <x:c r="G195" s="14"/>
      <x:c r="H195" s="14"/>
      <x:c r="I195" s="14"/>
      <x:c r="J195" s="14"/>
      <x:c r="K195" s="10"/>
      <x:c r="L195" s="10"/>
      <x:c r="M195" s="10"/>
      <x:c r="N195" s="10"/>
      <x:c r="O195" s="1" t="str">
        <x:f>IF(COUNTA(A195:N195)=0,"",IF(AND(ISNUMBER(A195),B195&lt;&gt;"",C195&lt;&gt;"",D195&lt;&gt;"",E195&lt;&gt;"",F195="USD",ISNUMBER(G195),OR(H195="YES",H195="NO"),K195&lt;&gt;"",L195&lt;&gt;"",N195&lt;&gt;"",COUNTIFS($A$8:$A$207,A195,$B$8:$B$207,B195,$E$8:$E$207,E195)=1),"READY","Resolve missing / duplicate inputs"))</x:f>
      </x:c>
    </x:row>
    <x:row r="196" ht="25" customHeight="1">
      <x:c r="A196" s="11"/>
      <x:c r="B196" s="10"/>
      <x:c r="C196" s="10"/>
      <x:c r="D196" s="10"/>
      <x:c r="E196" s="10"/>
      <x:c r="F196" s="10"/>
      <x:c r="G196" s="14"/>
      <x:c r="H196" s="14"/>
      <x:c r="I196" s="14"/>
      <x:c r="J196" s="14"/>
      <x:c r="K196" s="10"/>
      <x:c r="L196" s="10"/>
      <x:c r="M196" s="10"/>
      <x:c r="N196" s="10"/>
      <x:c r="O196" s="1" t="str">
        <x:f>IF(COUNTA(A196:N196)=0,"",IF(AND(ISNUMBER(A196),B196&lt;&gt;"",C196&lt;&gt;"",D196&lt;&gt;"",E196&lt;&gt;"",F196="USD",ISNUMBER(G196),OR(H196="YES",H196="NO"),K196&lt;&gt;"",L196&lt;&gt;"",N196&lt;&gt;"",COUNTIFS($A$8:$A$207,A196,$B$8:$B$207,B196,$E$8:$E$207,E196)=1),"READY","Resolve missing / duplicate inputs"))</x:f>
      </x:c>
    </x:row>
    <x:row r="197" ht="25" customHeight="1">
      <x:c r="A197" s="11"/>
      <x:c r="B197" s="10"/>
      <x:c r="C197" s="10"/>
      <x:c r="D197" s="10"/>
      <x:c r="E197" s="10"/>
      <x:c r="F197" s="10"/>
      <x:c r="G197" s="14"/>
      <x:c r="H197" s="14"/>
      <x:c r="I197" s="14"/>
      <x:c r="J197" s="14"/>
      <x:c r="K197" s="10"/>
      <x:c r="L197" s="10"/>
      <x:c r="M197" s="10"/>
      <x:c r="N197" s="10"/>
      <x:c r="O197" s="1" t="str">
        <x:f>IF(COUNTA(A197:N197)=0,"",IF(AND(ISNUMBER(A197),B197&lt;&gt;"",C197&lt;&gt;"",D197&lt;&gt;"",E197&lt;&gt;"",F197="USD",ISNUMBER(G197),OR(H197="YES",H197="NO"),K197&lt;&gt;"",L197&lt;&gt;"",N197&lt;&gt;"",COUNTIFS($A$8:$A$207,A197,$B$8:$B$207,B197,$E$8:$E$207,E197)=1),"READY","Resolve missing / duplicate inputs"))</x:f>
      </x:c>
    </x:row>
    <x:row r="198" ht="25" customHeight="1">
      <x:c r="A198" s="11"/>
      <x:c r="B198" s="10"/>
      <x:c r="C198" s="10"/>
      <x:c r="D198" s="10"/>
      <x:c r="E198" s="10"/>
      <x:c r="F198" s="10"/>
      <x:c r="G198" s="14"/>
      <x:c r="H198" s="14"/>
      <x:c r="I198" s="14"/>
      <x:c r="J198" s="14"/>
      <x:c r="K198" s="10"/>
      <x:c r="L198" s="10"/>
      <x:c r="M198" s="10"/>
      <x:c r="N198" s="10"/>
      <x:c r="O198" s="1" t="str">
        <x:f>IF(COUNTA(A198:N198)=0,"",IF(AND(ISNUMBER(A198),B198&lt;&gt;"",C198&lt;&gt;"",D198&lt;&gt;"",E198&lt;&gt;"",F198="USD",ISNUMBER(G198),OR(H198="YES",H198="NO"),K198&lt;&gt;"",L198&lt;&gt;"",N198&lt;&gt;"",COUNTIFS($A$8:$A$207,A198,$B$8:$B$207,B198,$E$8:$E$207,E198)=1),"READY","Resolve missing / duplicate inputs"))</x:f>
      </x:c>
    </x:row>
    <x:row r="199" ht="25" customHeight="1">
      <x:c r="A199" s="11"/>
      <x:c r="B199" s="10"/>
      <x:c r="C199" s="10"/>
      <x:c r="D199" s="10"/>
      <x:c r="E199" s="10"/>
      <x:c r="F199" s="10"/>
      <x:c r="G199" s="14"/>
      <x:c r="H199" s="14"/>
      <x:c r="I199" s="14"/>
      <x:c r="J199" s="14"/>
      <x:c r="K199" s="10"/>
      <x:c r="L199" s="10"/>
      <x:c r="M199" s="10"/>
      <x:c r="N199" s="10"/>
      <x:c r="O199" s="1" t="str">
        <x:f>IF(COUNTA(A199:N199)=0,"",IF(AND(ISNUMBER(A199),B199&lt;&gt;"",C199&lt;&gt;"",D199&lt;&gt;"",E199&lt;&gt;"",F199="USD",ISNUMBER(G199),OR(H199="YES",H199="NO"),K199&lt;&gt;"",L199&lt;&gt;"",N199&lt;&gt;"",COUNTIFS($A$8:$A$207,A199,$B$8:$B$207,B199,$E$8:$E$207,E199)=1),"READY","Resolve missing / duplicate inputs"))</x:f>
      </x:c>
    </x:row>
    <x:row r="200" ht="25" customHeight="1">
      <x:c r="A200" s="11"/>
      <x:c r="B200" s="10"/>
      <x:c r="C200" s="10"/>
      <x:c r="D200" s="10"/>
      <x:c r="E200" s="10"/>
      <x:c r="F200" s="10"/>
      <x:c r="G200" s="14"/>
      <x:c r="H200" s="14"/>
      <x:c r="I200" s="14"/>
      <x:c r="J200" s="14"/>
      <x:c r="K200" s="10"/>
      <x:c r="L200" s="10"/>
      <x:c r="M200" s="10"/>
      <x:c r="N200" s="10"/>
      <x:c r="O200" s="1" t="str">
        <x:f>IF(COUNTA(A200:N200)=0,"",IF(AND(ISNUMBER(A200),B200&lt;&gt;"",C200&lt;&gt;"",D200&lt;&gt;"",E200&lt;&gt;"",F200="USD",ISNUMBER(G200),OR(H200="YES",H200="NO"),K200&lt;&gt;"",L200&lt;&gt;"",N200&lt;&gt;"",COUNTIFS($A$8:$A$207,A200,$B$8:$B$207,B200,$E$8:$E$207,E200)=1),"READY","Resolve missing / duplicate inputs"))</x:f>
      </x:c>
    </x:row>
    <x:row r="201" ht="25" customHeight="1">
      <x:c r="A201" s="11"/>
      <x:c r="B201" s="10"/>
      <x:c r="C201" s="10"/>
      <x:c r="D201" s="10"/>
      <x:c r="E201" s="10"/>
      <x:c r="F201" s="10"/>
      <x:c r="G201" s="14"/>
      <x:c r="H201" s="14"/>
      <x:c r="I201" s="14"/>
      <x:c r="J201" s="14"/>
      <x:c r="K201" s="10"/>
      <x:c r="L201" s="10"/>
      <x:c r="M201" s="10"/>
      <x:c r="N201" s="10"/>
      <x:c r="O201" s="1" t="str">
        <x:f>IF(COUNTA(A201:N201)=0,"",IF(AND(ISNUMBER(A201),B201&lt;&gt;"",C201&lt;&gt;"",D201&lt;&gt;"",E201&lt;&gt;"",F201="USD",ISNUMBER(G201),OR(H201="YES",H201="NO"),K201&lt;&gt;"",L201&lt;&gt;"",N201&lt;&gt;"",COUNTIFS($A$8:$A$207,A201,$B$8:$B$207,B201,$E$8:$E$207,E201)=1),"READY","Resolve missing / duplicate inputs"))</x:f>
      </x:c>
    </x:row>
    <x:row r="202" ht="25" customHeight="1">
      <x:c r="A202" s="11"/>
      <x:c r="B202" s="10"/>
      <x:c r="C202" s="10"/>
      <x:c r="D202" s="10"/>
      <x:c r="E202" s="10"/>
      <x:c r="F202" s="10"/>
      <x:c r="G202" s="14"/>
      <x:c r="H202" s="14"/>
      <x:c r="I202" s="14"/>
      <x:c r="J202" s="14"/>
      <x:c r="K202" s="10"/>
      <x:c r="L202" s="10"/>
      <x:c r="M202" s="10"/>
      <x:c r="N202" s="10"/>
      <x:c r="O202" s="1" t="str">
        <x:f>IF(COUNTA(A202:N202)=0,"",IF(AND(ISNUMBER(A202),B202&lt;&gt;"",C202&lt;&gt;"",D202&lt;&gt;"",E202&lt;&gt;"",F202="USD",ISNUMBER(G202),OR(H202="YES",H202="NO"),K202&lt;&gt;"",L202&lt;&gt;"",N202&lt;&gt;"",COUNTIFS($A$8:$A$207,A202,$B$8:$B$207,B202,$E$8:$E$207,E202)=1),"READY","Resolve missing / duplicate inputs"))</x:f>
      </x:c>
    </x:row>
    <x:row r="203" ht="25" customHeight="1">
      <x:c r="A203" s="11"/>
      <x:c r="B203" s="10"/>
      <x:c r="C203" s="10"/>
      <x:c r="D203" s="10"/>
      <x:c r="E203" s="10"/>
      <x:c r="F203" s="10"/>
      <x:c r="G203" s="14"/>
      <x:c r="H203" s="14"/>
      <x:c r="I203" s="14"/>
      <x:c r="J203" s="14"/>
      <x:c r="K203" s="10"/>
      <x:c r="L203" s="10"/>
      <x:c r="M203" s="10"/>
      <x:c r="N203" s="10"/>
      <x:c r="O203" s="1" t="str">
        <x:f>IF(COUNTA(A203:N203)=0,"",IF(AND(ISNUMBER(A203),B203&lt;&gt;"",C203&lt;&gt;"",D203&lt;&gt;"",E203&lt;&gt;"",F203="USD",ISNUMBER(G203),OR(H203="YES",H203="NO"),K203&lt;&gt;"",L203&lt;&gt;"",N203&lt;&gt;"",COUNTIFS($A$8:$A$207,A203,$B$8:$B$207,B203,$E$8:$E$207,E203)=1),"READY","Resolve missing / duplicate inputs"))</x:f>
      </x:c>
    </x:row>
    <x:row r="204" ht="25" customHeight="1">
      <x:c r="A204" s="11"/>
      <x:c r="B204" s="10"/>
      <x:c r="C204" s="10"/>
      <x:c r="D204" s="10"/>
      <x:c r="E204" s="10"/>
      <x:c r="F204" s="10"/>
      <x:c r="G204" s="14"/>
      <x:c r="H204" s="14"/>
      <x:c r="I204" s="14"/>
      <x:c r="J204" s="14"/>
      <x:c r="K204" s="10"/>
      <x:c r="L204" s="10"/>
      <x:c r="M204" s="10"/>
      <x:c r="N204" s="10"/>
      <x:c r="O204" s="1" t="str">
        <x:f>IF(COUNTA(A204:N204)=0,"",IF(AND(ISNUMBER(A204),B204&lt;&gt;"",C204&lt;&gt;"",D204&lt;&gt;"",E204&lt;&gt;"",F204="USD",ISNUMBER(G204),OR(H204="YES",H204="NO"),K204&lt;&gt;"",L204&lt;&gt;"",N204&lt;&gt;"",COUNTIFS($A$8:$A$207,A204,$B$8:$B$207,B204,$E$8:$E$207,E204)=1),"READY","Resolve missing / duplicate inputs"))</x:f>
      </x:c>
    </x:row>
    <x:row r="205" ht="25" customHeight="1">
      <x:c r="A205" s="11"/>
      <x:c r="B205" s="10"/>
      <x:c r="C205" s="10"/>
      <x:c r="D205" s="10"/>
      <x:c r="E205" s="10"/>
      <x:c r="F205" s="10"/>
      <x:c r="G205" s="14"/>
      <x:c r="H205" s="14"/>
      <x:c r="I205" s="14"/>
      <x:c r="J205" s="14"/>
      <x:c r="K205" s="10"/>
      <x:c r="L205" s="10"/>
      <x:c r="M205" s="10"/>
      <x:c r="N205" s="10"/>
      <x:c r="O205" s="1" t="str">
        <x:f>IF(COUNTA(A205:N205)=0,"",IF(AND(ISNUMBER(A205),B205&lt;&gt;"",C205&lt;&gt;"",D205&lt;&gt;"",E205&lt;&gt;"",F205="USD",ISNUMBER(G205),OR(H205="YES",H205="NO"),K205&lt;&gt;"",L205&lt;&gt;"",N205&lt;&gt;"",COUNTIFS($A$8:$A$207,A205,$B$8:$B$207,B205,$E$8:$E$207,E205)=1),"READY","Resolve missing / duplicate inputs"))</x:f>
      </x:c>
    </x:row>
    <x:row r="206" ht="25" customHeight="1">
      <x:c r="A206" s="11"/>
      <x:c r="B206" s="10"/>
      <x:c r="C206" s="10"/>
      <x:c r="D206" s="10"/>
      <x:c r="E206" s="10"/>
      <x:c r="F206" s="10"/>
      <x:c r="G206" s="14"/>
      <x:c r="H206" s="14"/>
      <x:c r="I206" s="14"/>
      <x:c r="J206" s="14"/>
      <x:c r="K206" s="10"/>
      <x:c r="L206" s="10"/>
      <x:c r="M206" s="10"/>
      <x:c r="N206" s="10"/>
      <x:c r="O206" s="1" t="str">
        <x:f>IF(COUNTA(A206:N206)=0,"",IF(AND(ISNUMBER(A206),B206&lt;&gt;"",C206&lt;&gt;"",D206&lt;&gt;"",E206&lt;&gt;"",F206="USD",ISNUMBER(G206),OR(H206="YES",H206="NO"),K206&lt;&gt;"",L206&lt;&gt;"",N206&lt;&gt;"",COUNTIFS($A$8:$A$207,A206,$B$8:$B$207,B206,$E$8:$E$207,E206)=1),"READY","Resolve missing / duplicate inputs"))</x:f>
      </x:c>
    </x:row>
    <x:row r="207" ht="25" customHeight="1">
      <x:c r="A207" s="11"/>
      <x:c r="B207" s="10"/>
      <x:c r="C207" s="10"/>
      <x:c r="D207" s="10"/>
      <x:c r="E207" s="10"/>
      <x:c r="F207" s="10"/>
      <x:c r="G207" s="14"/>
      <x:c r="H207" s="14"/>
      <x:c r="I207" s="14"/>
      <x:c r="J207" s="14"/>
      <x:c r="K207" s="10"/>
      <x:c r="L207" s="10"/>
      <x:c r="M207" s="10"/>
      <x:c r="N207" s="10"/>
      <x:c r="O207" s="1" t="str">
        <x:f>IF(COUNTA(A207:N207)=0,"",IF(AND(ISNUMBER(A207),B207&lt;&gt;"",C207&lt;&gt;"",D207&lt;&gt;"",E207&lt;&gt;"",F207="USD",ISNUMBER(G207),OR(H207="YES",H207="NO"),K207&lt;&gt;"",L207&lt;&gt;"",N207&lt;&gt;"",COUNTIFS($A$8:$A$207,A207,$B$8:$B$207,B207,$E$8:$E$207,E207)=1),"READY","Resolve missing / duplicate inputs"))</x:f>
      </x:c>
    </x:row>
    <x:row r="208" ht="2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 ht="2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 ht="2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</x:sheetData>
  <x:dataValidations count="2">
    <x:dataValidation type="list" sqref="F8:F207">
      <x:formula1>"USD,EUR,GBP,CAD,Unknown"</x:formula1>
    </x:dataValidation>
    <x:dataValidation type="list" sqref="H8:H207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2c2f3f750b42df"/>
  </x:tableParts>
</x:worksheet>
</file>